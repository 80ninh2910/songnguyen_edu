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1cc421ce9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yệt trường dữ liệu" sheetId="1" r:id="R2e853ed1c78b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367B"/>
      <x:name val="Arial"/>
    </x:font>
    <x:font>
      <x:i/>
      <x:sz val="10"/>
      <x:color rgb="FF53657F"/>
      <x:name val="Arial"/>
    </x:font>
    <x:font>
      <x:b/>
      <x:sz val="10"/>
      <x:color rgb="FF17367B"/>
      <x:name val="Arial"/>
    </x:font>
    <x:font>
      <x:b/>
      <x:sz val="10"/>
      <x:color rgb="FF8A4B00"/>
      <x:name val="Arial"/>
    </x:font>
    <x:font>
      <x:sz val="10"/>
      <x:color rgb="FF6A4A13"/>
      <x:name val="Arial"/>
    </x:font>
    <x:font>
      <x:b/>
      <x:sz val="10"/>
      <x:color rgb="FFFFFFFF"/>
      <x:name val="Arial"/>
    </x:font>
    <x:font>
      <x:sz val="10"/>
      <x:color rgb="FF23324D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EF4FF"/>
      </x:patternFill>
    </x:fill>
    <x:fill>
      <x:patternFill patternType="solid">
        <x:fgColor rgb="FFFFF6E5"/>
      </x:patternFill>
    </x:fill>
    <x:fill>
      <x:patternFill patternType="solid">
        <x:fgColor rgb="FF17367B"/>
      </x:patternFill>
    </x:fill>
    <x:fill>
      <x:patternFill patternType="solid">
        <x:fgColor rgb="FFFFF8DC"/>
      </x:patternFill>
    </x:fill>
    <x:fill>
      <x:patternFill patternType="solid">
        <x:fgColor rgb="FFEAF2FF"/>
      </x:patternFill>
    </x:fill>
    <x:fill>
      <x:patternFill patternType="solid">
        <x:fgColor rgb="FFE9F7F0"/>
      </x:patternFill>
    </x:fill>
    <x:fill>
      <x:patternFill patternType="solid">
        <x:fgColor rgb="FFF3ECFF"/>
      </x:patternFill>
    </x:fill>
  </x:fills>
  <x:borders count="8">
    <x:border/>
    <x:border>
      <x:bottom style="medium">
        <x:color rgb="FF17367B"/>
      </x:bottom>
    </x:border>
    <x:border>
      <x:right style="thin">
        <x:color rgb="FFFFFFFF"/>
      </x:right>
      <x:bottom style="medium">
        <x:color rgb="FF0E275C"/>
      </x:bottom>
    </x:border>
    <x:border>
      <x:left style="thin">
        <x:color rgb="FFFFFFFF"/>
      </x:left>
      <x:right style="thin">
        <x:color rgb="FFFFFFFF"/>
      </x:right>
      <x:bottom style="medium">
        <x:color rgb="FF0E275C"/>
      </x:bottom>
    </x:border>
    <x:border>
      <x:left style="thin">
        <x:color rgb="FFFFFFFF"/>
      </x:left>
      <x:bottom style="medium">
        <x:color rgb="FF0E275C"/>
      </x:bottom>
    </x:border>
    <x:border>
      <x:bottom style="thin">
        <x:color rgb="FFDCE4F0"/>
      </x:bottom>
    </x:border>
    <x:border>
      <x:top style="thin">
        <x:color rgb="FFDCE4F0"/>
      </x:top>
      <x:bottom style="thin">
        <x:color rgb="FFDCE4F0"/>
      </x:bottom>
    </x:border>
    <x:border>
      <x:top style="thin">
        <x:color rgb="FFDCE4F0"/>
      </x:top>
      <x:bottom style="thin">
        <x:color rgb="FFB9C6DA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horizontal="center"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horizontal="center" vertical="center"/>
    </x:xf>
    <x:xf numFmtId="0" fontId="7" fillId="0" borderId="7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/>
    </x:xf>
    <x:xf numFmtId="0" fontId="7" fillId="7" borderId="6" xfId="0" applyNumberFormat="1" applyFont="1" applyFill="1" applyBorder="1" applyAlignment="1">
      <x:alignment vertical="center"/>
    </x:xf>
    <x:xf numFmtId="0" fontId="7" fillId="8" borderId="6" xfId="0" applyNumberFormat="1" applyFont="1" applyFill="1" applyBorder="1" applyAlignment="1">
      <x:alignment vertical="center"/>
    </x:xf>
    <x:xf numFmtId="0" fontId="7" fillId="8" borderId="7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6" xfId="0" applyNumberFormat="1" applyFont="1" applyFill="1" applyBorder="1" applyAlignment="1">
      <x:alignment vertical="center"/>
    </x:xf>
    <x:xf numFmtId="0" fontId="3" fillId="7" borderId="6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7A4B00"/>
      </x:font>
      <x:fill>
        <x:patternFill patternType="solid">
          <x:bgColor rgb="FFFFF2CC"/>
        </x:patternFill>
      </x:fill>
    </x:dxf>
    <x:dxf>
      <x:font>
        <x:b/>
        <x:color rgb="FF9C2F00"/>
      </x:font>
      <x:fill>
        <x:patternFill patternType="solid">
          <x:bgColor rgb="FFFCE4D6"/>
        </x:patternFill>
      </x:fill>
    </x:dxf>
    <x:dxf>
      <x:font>
        <x:color rgb="FF2E6B2E"/>
      </x:font>
      <x:fill>
        <x:patternFill patternType="solid">
          <x:bgColor rgb="FFE2F0D9"/>
        </x:patternFill>
      </x:fill>
    </x:dxf>
    <x:dxf>
      <x:font>
        <x:color rgb="FF4A5870"/>
      </x:font>
      <x:fill>
        <x:patternFill patternType="solid">
          <x:bgColor rgb="FFE7ECF5"/>
        </x:patternFill>
      </x:fill>
    </x:dxf>
    <x:dxf>
      <x:font>
        <x:b/>
        <x:color rgb="FF1F6B2A"/>
      </x:font>
      <x:fill>
        <x:patternFill patternType="solid">
          <x:bgColor rgb="FFD9EAD3"/>
        </x:patternFill>
      </x:fill>
    </x:dxf>
    <x:dxf>
      <x:font>
        <x:b/>
        <x:color rgb="FF9C1C1C"/>
      </x:font>
      <x:fill>
        <x:patternFill patternType="solid">
          <x:bgColor rgb="FFF4CCCC"/>
        </x:patternFill>
      </x:fill>
    </x:dxf>
    <x:dxf>
      <x:font>
        <x:b/>
        <x:color rgb="FF8A4B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b3c999bc4468a" /><Relationship Type="http://schemas.openxmlformats.org/officeDocument/2006/relationships/theme" Target="/xl/theme/theme1.xml" Id="R55f247860cc6475d" /><Relationship Type="http://schemas.openxmlformats.org/officeDocument/2006/relationships/sharedStrings" Target="/xl/sharedStrings.xml" Id="Raff9b0eddc93447e" /><Relationship Type="http://schemas.openxmlformats.org/officeDocument/2006/relationships/worksheet" Target="/xl/worksheets/sheet1.xml" Id="R2e853ed1c78b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7B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6" hidden="0" customWidth="1"/>
    <x:col min="2" max="2" width="20" hidden="0" customWidth="1"/>
    <x:col min="3" max="3" width="18" hidden="0" customWidth="1"/>
    <x:col min="4" max="4" width="25" hidden="0" customWidth="1"/>
    <x:col min="5" max="5" width="25" hidden="0" customWidth="1"/>
    <x:col min="6" max="6" width="15" hidden="0" customWidth="1"/>
    <x:col min="7" max="7" width="14" hidden="0" customWidth="1"/>
    <x:col min="8" max="8" width="19" hidden="0" customWidth="1"/>
    <x:col min="9" max="9" width="42" hidden="0" customWidth="1"/>
    <x:col min="10" max="10" width="27" hidden="0" customWidth="1"/>
    <x:col min="11" max="11" width="18" hidden="0" customWidth="1"/>
    <x:col min="12" max="12" width="18" hidden="0" customWidth="1"/>
    <x:col min="13" max="13" width="35" hidden="0" customWidth="1"/>
  </x:cols>
  <x:sheetData>
    <x:row r="2" ht="26" customHeight="1">
      <x:c r="A2" s="2" t="str">
        <x:v>Đề xuất trường dữ liệu quản lý trung tâm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Dùng để duyệt cấu trúc trước khi sửa database, API và giao diện admin. Chưa chứa dữ liệu vận hành.</x:v>
      </x:c>
    </x:row>
    <x:row r="5">
      <x:c r="A5" s="4" t="str">
        <x:v>Tổng trường</x:v>
      </x:c>
      <x:c r="B5" s="6" t="n">
        <x:f>COUNTA(E9:E93)</x:f>
        <x:v>85</x:v>
      </x:c>
      <x:c r="C5" s="4"/>
      <x:c r="D5" s="4" t="str">
        <x:v>Đã có</x:v>
      </x:c>
      <x:c r="E5" s="4" t="n">
        <x:f>COUNTIFS(H9:H93,"Đã có")</x:f>
        <x:v>25</x:v>
      </x:c>
      <x:c r="F5" s="4"/>
      <x:c r="G5" s="4" t="str">
        <x:v>Cần bổ sung</x:v>
      </x:c>
      <x:c r="H5" s="4" t="n">
        <x:f>COUNTIFS(H9:H93,"Cần bổ sung")</x:f>
        <x:v>48</x:v>
      </x:c>
      <x:c r="I5" s="4"/>
      <x:c r="J5" s="4" t="str">
        <x:v>Nên đổi cấu trúc</x:v>
      </x:c>
      <x:c r="K5" s="4" t="n">
        <x:f>COUNTIFS(H9:H93,"Nên đổi cấu trúc")</x:f>
        <x:v>10</x:v>
      </x:c>
    </x:row>
    <x:row r="7">
      <x:c r="A7" s="7" t="str">
        <x:v>Cách duyệt</x:v>
      </x:c>
      <x:c r="B7" s="9" t="str">
        <x:v>Chọn Duyệt / Loại bỏ / Cần trao đổi ở cột L. Ghi yêu cầu chỉnh sửa ở cột M.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</x:row>
    <x:row r="8" ht="38" customHeight="1">
      <x:c r="A8" s="21" t="str">
        <x:v>STT</x:v>
      </x:c>
      <x:c r="B8" s="22" t="str">
        <x:v>Đối tượng</x:v>
      </x:c>
      <x:c r="C8" s="22" t="str">
        <x:v>Nhóm thông tin</x:v>
      </x:c>
      <x:c r="D8" s="22" t="str">
        <x:v>Tên trường hiển thị</x:v>
      </x:c>
      <x:c r="E8" s="22" t="str">
        <x:v>Field key đề xuất</x:v>
      </x:c>
      <x:c r="F8" s="22" t="str">
        <x:v>Kiểu dữ liệu</x:v>
      </x:c>
      <x:c r="G8" s="22" t="str">
        <x:v>Bắt buộc</x:v>
      </x:c>
      <x:c r="H8" s="22" t="str">
        <x:v>Hiện trạng</x:v>
      </x:c>
      <x:c r="I8" s="22" t="str">
        <x:v>Ràng buộc / danh mục</x:v>
      </x:c>
      <x:c r="J8" s="22" t="str">
        <x:v>Hiển thị trên admin</x:v>
      </x:c>
      <x:c r="K8" s="22" t="str">
        <x:v>Ưu tiên</x:v>
      </x:c>
      <x:c r="L8" s="22" t="str">
        <x:v>Quyết định</x:v>
      </x:c>
      <x:c r="M8" s="23" t="str">
        <x:v>Ý kiến duyệt</x:v>
      </x:c>
    </x:row>
    <x:row r="9" ht="34" customHeight="1">
      <x:c r="A9" s="31" t="n">
        <x:v>1</x:v>
      </x:c>
      <x:c r="B9" s="54" t="str">
        <x:v>Giáo viên trung tâm</x:v>
      </x:c>
      <x:c r="C9" s="33" t="str">
        <x:v>Định danh</x:v>
      </x:c>
      <x:c r="D9" s="33" t="str">
        <x:v>ID hệ thống</x:v>
      </x:c>
      <x:c r="E9" s="33" t="str">
        <x:v>id</x:v>
      </x:c>
      <x:c r="F9" s="34" t="str">
        <x:v>UUID</x:v>
      </x:c>
      <x:c r="G9" s="34" t="str">
        <x:v>Hệ thống</x:v>
      </x:c>
      <x:c r="H9" s="34" t="str">
        <x:v>Tự sinh</x:v>
      </x:c>
      <x:c r="I9" s="33" t="str">
        <x:v>Khóa chính</x:v>
      </x:c>
      <x:c r="J9" s="33" t="str">
        <x:v>Ẩn</x:v>
      </x:c>
      <x:c r="K9" s="34" t="str">
        <x:v>P0 - Bắt buộc</x:v>
      </x:c>
      <x:c r="L9" s="35" t="str"/>
      <x:c r="M9" s="36" t="str"/>
    </x:row>
    <x:row r="10" ht="34" customHeight="1">
      <x:c r="A10" s="37" t="n">
        <x:v>2</x:v>
      </x:c>
      <x:c r="B10" s="55" t="str">
        <x:v>Giáo viên trung tâm</x:v>
      </x:c>
      <x:c r="C10" s="39" t="str">
        <x:v>Định danh</x:v>
      </x:c>
      <x:c r="D10" s="39" t="str">
        <x:v>Mã giáo viên</x:v>
      </x:c>
      <x:c r="E10" s="39" t="str">
        <x:v>teacherCode</x:v>
      </x:c>
      <x:c r="F10" s="40" t="str">
        <x:v>String</x:v>
      </x:c>
      <x:c r="G10" s="40" t="str">
        <x:v>Có</x:v>
      </x:c>
      <x:c r="H10" s="40" t="str">
        <x:v>Cần bổ sung</x:v>
      </x:c>
      <x:c r="I10" s="39" t="str">
        <x:v>Duy nhất; định dạng GVTT-xxxx</x:v>
      </x:c>
      <x:c r="J10" s="39" t="str">
        <x:v>Danh sách + chi tiết</x:v>
      </x:c>
      <x:c r="K10" s="40" t="str">
        <x:v>P0 - Bắt buộc</x:v>
      </x:c>
      <x:c r="L10" s="41" t="str"/>
      <x:c r="M10" s="42" t="str"/>
    </x:row>
    <x:row r="11" ht="34" customHeight="1">
      <x:c r="A11" s="37" t="n">
        <x:v>3</x:v>
      </x:c>
      <x:c r="B11" s="55" t="str">
        <x:v>Giáo viên trung tâm</x:v>
      </x:c>
      <x:c r="C11" s="39" t="str">
        <x:v>Cá nhân</x:v>
      </x:c>
      <x:c r="D11" s="39" t="str">
        <x:v>Họ và tên</x:v>
      </x:c>
      <x:c r="E11" s="39" t="str">
        <x:v>fullName</x:v>
      </x:c>
      <x:c r="F11" s="40" t="str">
        <x:v>String</x:v>
      </x:c>
      <x:c r="G11" s="40" t="str">
        <x:v>Có</x:v>
      </x:c>
      <x:c r="H11" s="40" t="str">
        <x:v>Đã có</x:v>
      </x:c>
      <x:c r="I11" s="39" t="str">
        <x:v>3-200 ký tự</x:v>
      </x:c>
      <x:c r="J11" s="39" t="str">
        <x:v>Danh sách + chi tiết</x:v>
      </x:c>
      <x:c r="K11" s="40" t="str">
        <x:v>P0 - Bắt buộc</x:v>
      </x:c>
      <x:c r="L11" s="41" t="str"/>
      <x:c r="M11" s="42" t="str"/>
    </x:row>
    <x:row r="12" ht="34" customHeight="1">
      <x:c r="A12" s="37" t="n">
        <x:v>4</x:v>
      </x:c>
      <x:c r="B12" s="55" t="str">
        <x:v>Giáo viên trung tâm</x:v>
      </x:c>
      <x:c r="C12" s="39" t="str">
        <x:v>Cá nhân</x:v>
      </x:c>
      <x:c r="D12" s="39" t="str">
        <x:v>Giới tính</x:v>
      </x:c>
      <x:c r="E12" s="39" t="str">
        <x:v>gender</x:v>
      </x:c>
      <x:c r="F12" s="40" t="str">
        <x:v>Enum</x:v>
      </x:c>
      <x:c r="G12" s="40" t="str">
        <x:v>Không</x:v>
      </x:c>
      <x:c r="H12" s="40" t="str">
        <x:v>Cần bổ sung</x:v>
      </x:c>
      <x:c r="I12" s="39" t="str">
        <x:v>Nam; Nữ; Khác; Không cung cấp</x:v>
      </x:c>
      <x:c r="J12" s="39" t="str">
        <x:v>Chi tiết</x:v>
      </x:c>
      <x:c r="K12" s="40" t="str">
        <x:v>P1 - Nên có</x:v>
      </x:c>
      <x:c r="L12" s="41" t="str"/>
      <x:c r="M12" s="42" t="str"/>
    </x:row>
    <x:row r="13" ht="34" customHeight="1">
      <x:c r="A13" s="37" t="n">
        <x:v>5</x:v>
      </x:c>
      <x:c r="B13" s="55" t="str">
        <x:v>Giáo viên trung tâm</x:v>
      </x:c>
      <x:c r="C13" s="39" t="str">
        <x:v>Cá nhân</x:v>
      </x:c>
      <x:c r="D13" s="39" t="str">
        <x:v>Ngày sinh</x:v>
      </x:c>
      <x:c r="E13" s="39" t="str">
        <x:v>dateOfBirth</x:v>
      </x:c>
      <x:c r="F13" s="40" t="str">
        <x:v>Date</x:v>
      </x:c>
      <x:c r="G13" s="40" t="str">
        <x:v>Không</x:v>
      </x:c>
      <x:c r="H13" s="40" t="str">
        <x:v>Cần bổ sung</x:v>
      </x:c>
      <x:c r="I13" s="39" t="str">
        <x:v>Không lớn hơn ngày hiện tại</x:v>
      </x:c>
      <x:c r="J13" s="39" t="str">
        <x:v>Chi tiết</x:v>
      </x:c>
      <x:c r="K13" s="40" t="str">
        <x:v>P1 - Nên có</x:v>
      </x:c>
      <x:c r="L13" s="41" t="str"/>
      <x:c r="M13" s="42" t="str"/>
    </x:row>
    <x:row r="14" ht="34" customHeight="1">
      <x:c r="A14" s="37" t="n">
        <x:v>6</x:v>
      </x:c>
      <x:c r="B14" s="55" t="str">
        <x:v>Giáo viên trung tâm</x:v>
      </x:c>
      <x:c r="C14" s="39" t="str">
        <x:v>Cá nhân</x:v>
      </x:c>
      <x:c r="D14" s="39" t="str">
        <x:v>Ảnh đại diện</x:v>
      </x:c>
      <x:c r="E14" s="39" t="str">
        <x:v>avatarUrl</x:v>
      </x:c>
      <x:c r="F14" s="40" t="str">
        <x:v>String/URL</x:v>
      </x:c>
      <x:c r="G14" s="40" t="str">
        <x:v>Không</x:v>
      </x:c>
      <x:c r="H14" s="40" t="str">
        <x:v>Cần bổ sung</x:v>
      </x:c>
      <x:c r="I14" s="39" t="str">
        <x:v>URL ảnh hợp lệ</x:v>
      </x:c>
      <x:c r="J14" s="39" t="str">
        <x:v>Danh sách + chi tiết</x:v>
      </x:c>
      <x:c r="K14" s="40" t="str">
        <x:v>P2 - Tùy chọn</x:v>
      </x:c>
      <x:c r="L14" s="41" t="str"/>
      <x:c r="M14" s="42" t="str"/>
    </x:row>
    <x:row r="15" ht="34" customHeight="1">
      <x:c r="A15" s="37" t="n">
        <x:v>7</x:v>
      </x:c>
      <x:c r="B15" s="55" t="str">
        <x:v>Giáo viên trung tâm</x:v>
      </x:c>
      <x:c r="C15" s="39" t="str">
        <x:v>Liên hệ</x:v>
      </x:c>
      <x:c r="D15" s="39" t="str">
        <x:v>Email</x:v>
      </x:c>
      <x:c r="E15" s="39" t="str">
        <x:v>email</x:v>
      </x:c>
      <x:c r="F15" s="40" t="str">
        <x:v>String</x:v>
      </x:c>
      <x:c r="G15" s="40" t="str">
        <x:v>Có</x:v>
      </x:c>
      <x:c r="H15" s="40" t="str">
        <x:v>Đã có</x:v>
      </x:c>
      <x:c r="I15" s="39" t="str">
        <x:v>Email hợp lệ; duy nhất</x:v>
      </x:c>
      <x:c r="J15" s="39" t="str">
        <x:v>Danh sách + chi tiết</x:v>
      </x:c>
      <x:c r="K15" s="40" t="str">
        <x:v>P0 - Bắt buộc</x:v>
      </x:c>
      <x:c r="L15" s="41" t="str"/>
      <x:c r="M15" s="42" t="str"/>
    </x:row>
    <x:row r="16" ht="34" customHeight="1">
      <x:c r="A16" s="37" t="n">
        <x:v>8</x:v>
      </x:c>
      <x:c r="B16" s="55" t="str">
        <x:v>Giáo viên trung tâm</x:v>
      </x:c>
      <x:c r="C16" s="39" t="str">
        <x:v>Liên hệ</x:v>
      </x:c>
      <x:c r="D16" s="39" t="str">
        <x:v>Số điện thoại</x:v>
      </x:c>
      <x:c r="E16" s="39" t="str">
        <x:v>phone</x:v>
      </x:c>
      <x:c r="F16" s="40" t="str">
        <x:v>String</x:v>
      </x:c>
      <x:c r="G16" s="40" t="str">
        <x:v>Có</x:v>
      </x:c>
      <x:c r="H16" s="40" t="str">
        <x:v>Đã có</x:v>
      </x:c>
      <x:c r="I16" s="39" t="str">
        <x:v>Số điện thoại Việt Nam; nên duy nhất</x:v>
      </x:c>
      <x:c r="J16" s="39" t="str">
        <x:v>Danh sách + chi tiết</x:v>
      </x:c>
      <x:c r="K16" s="40" t="str">
        <x:v>P0 - Bắt buộc</x:v>
      </x:c>
      <x:c r="L16" s="41" t="str"/>
      <x:c r="M16" s="42" t="str"/>
    </x:row>
    <x:row r="17" ht="34" customHeight="1">
      <x:c r="A17" s="37" t="n">
        <x:v>9</x:v>
      </x:c>
      <x:c r="B17" s="55" t="str">
        <x:v>Giáo viên trung tâm</x:v>
      </x:c>
      <x:c r="C17" s="39" t="str">
        <x:v>Liên hệ</x:v>
      </x:c>
      <x:c r="D17" s="39" t="str">
        <x:v>Địa chỉ</x:v>
      </x:c>
      <x:c r="E17" s="39" t="str">
        <x:v>address</x:v>
      </x:c>
      <x:c r="F17" s="40" t="str">
        <x:v>String</x:v>
      </x:c>
      <x:c r="G17" s="40" t="str">
        <x:v>Không</x:v>
      </x:c>
      <x:c r="H17" s="40" t="str">
        <x:v>Cần bổ sung</x:v>
      </x:c>
      <x:c r="I17" s="39" t="str">
        <x:v>Tối đa 300 ký tự</x:v>
      </x:c>
      <x:c r="J17" s="39" t="str">
        <x:v>Chi tiết</x:v>
      </x:c>
      <x:c r="K17" s="40" t="str">
        <x:v>P1 - Nên có</x:v>
      </x:c>
      <x:c r="L17" s="41" t="str"/>
      <x:c r="M17" s="42" t="str"/>
    </x:row>
    <x:row r="18" ht="34" customHeight="1">
      <x:c r="A18" s="37" t="n">
        <x:v>10</x:v>
      </x:c>
      <x:c r="B18" s="55" t="str">
        <x:v>Giáo viên trung tâm</x:v>
      </x:c>
      <x:c r="C18" s="39" t="str">
        <x:v>Công việc</x:v>
      </x:c>
      <x:c r="D18" s="39" t="str">
        <x:v>Trạng thái hoạt động</x:v>
      </x:c>
      <x:c r="E18" s="39" t="str">
        <x:v>status</x:v>
      </x:c>
      <x:c r="F18" s="40" t="str">
        <x:v>Enum</x:v>
      </x:c>
      <x:c r="G18" s="40" t="str">
        <x:v>Có</x:v>
      </x:c>
      <x:c r="H18" s="40" t="str">
        <x:v>Đã có</x:v>
      </x:c>
      <x:c r="I18" s="39" t="str">
        <x:v>ACTIVE; INACTIVE</x:v>
      </x:c>
      <x:c r="J18" s="39" t="str">
        <x:v>Bộ lọc + danh sách + chi tiết</x:v>
      </x:c>
      <x:c r="K18" s="40" t="str">
        <x:v>P0 - Bắt buộc</x:v>
      </x:c>
      <x:c r="L18" s="41" t="str"/>
      <x:c r="M18" s="42" t="str"/>
    </x:row>
    <x:row r="19" ht="34" customHeight="1">
      <x:c r="A19" s="37" t="n">
        <x:v>11</x:v>
      </x:c>
      <x:c r="B19" s="55" t="str">
        <x:v>Giáo viên trung tâm</x:v>
      </x:c>
      <x:c r="C19" s="39" t="str">
        <x:v>Công việc</x:v>
      </x:c>
      <x:c r="D19" s="39" t="str">
        <x:v>Hình thức làm việc</x:v>
      </x:c>
      <x:c r="E19" s="39" t="str">
        <x:v>employmentType</x:v>
      </x:c>
      <x:c r="F19" s="40" t="str">
        <x:v>Enum</x:v>
      </x:c>
      <x:c r="G19" s="40" t="str">
        <x:v>Có</x:v>
      </x:c>
      <x:c r="H19" s="40" t="str">
        <x:v>Cần bổ sung</x:v>
      </x:c>
      <x:c r="I19" s="39" t="str">
        <x:v>Toàn thời gian; Bán thời gian; Cộng tác</x:v>
      </x:c>
      <x:c r="J19" s="39" t="str">
        <x:v>Bộ lọc + chi tiết</x:v>
      </x:c>
      <x:c r="K19" s="40" t="str">
        <x:v>P1 - Nên có</x:v>
      </x:c>
      <x:c r="L19" s="41" t="str"/>
      <x:c r="M19" s="42" t="str"/>
    </x:row>
    <x:row r="20" ht="34" customHeight="1">
      <x:c r="A20" s="37" t="n">
        <x:v>12</x:v>
      </x:c>
      <x:c r="B20" s="55" t="str">
        <x:v>Giáo viên trung tâm</x:v>
      </x:c>
      <x:c r="C20" s="39" t="str">
        <x:v>Công việc</x:v>
      </x:c>
      <x:c r="D20" s="39" t="str">
        <x:v>Ngày bắt đầu</x:v>
      </x:c>
      <x:c r="E20" s="39" t="str">
        <x:v>hireDate</x:v>
      </x:c>
      <x:c r="F20" s="40" t="str">
        <x:v>Date</x:v>
      </x:c>
      <x:c r="G20" s="40" t="str">
        <x:v>Không</x:v>
      </x:c>
      <x:c r="H20" s="40" t="str">
        <x:v>Cần bổ sung</x:v>
      </x:c>
      <x:c r="I20" s="39" t="str">
        <x:v>Không sau ngày kết thúc</x:v>
      </x:c>
      <x:c r="J20" s="39" t="str">
        <x:v>Chi tiết</x:v>
      </x:c>
      <x:c r="K20" s="40" t="str">
        <x:v>P1 - Nên có</x:v>
      </x:c>
      <x:c r="L20" s="41" t="str"/>
      <x:c r="M20" s="42" t="str"/>
    </x:row>
    <x:row r="21" ht="34" customHeight="1">
      <x:c r="A21" s="37" t="n">
        <x:v>13</x:v>
      </x:c>
      <x:c r="B21" s="55" t="str">
        <x:v>Giáo viên trung tâm</x:v>
      </x:c>
      <x:c r="C21" s="39" t="str">
        <x:v>Công việc</x:v>
      </x:c>
      <x:c r="D21" s="39" t="str">
        <x:v>Ngày kết thúc</x:v>
      </x:c>
      <x:c r="E21" s="39" t="str">
        <x:v>endDate</x:v>
      </x:c>
      <x:c r="F21" s="40" t="str">
        <x:v>Date</x:v>
      </x:c>
      <x:c r="G21" s="40" t="str">
        <x:v>Không</x:v>
      </x:c>
      <x:c r="H21" s="40" t="str">
        <x:v>Cần bổ sung</x:v>
      </x:c>
      <x:c r="I21" s="39" t="str">
        <x:v>Bắt buộc khi ngừng làm việc lâu dài</x:v>
      </x:c>
      <x:c r="J21" s="39" t="str">
        <x:v>Chi tiết</x:v>
      </x:c>
      <x:c r="K21" s="40" t="str">
        <x:v>P2 - Tùy chọn</x:v>
      </x:c>
      <x:c r="L21" s="41" t="str"/>
      <x:c r="M21" s="42" t="str"/>
    </x:row>
    <x:row r="22" ht="34" customHeight="1">
      <x:c r="A22" s="37" t="n">
        <x:v>14</x:v>
      </x:c>
      <x:c r="B22" s="55" t="str">
        <x:v>Giáo viên trung tâm</x:v>
      </x:c>
      <x:c r="C22" s="39" t="str">
        <x:v>Chuyên môn</x:v>
      </x:c>
      <x:c r="D22" s="39" t="str">
        <x:v>Đơn vị công tác / trường</x:v>
      </x:c>
      <x:c r="E22" s="39" t="str">
        <x:v>workplace</x:v>
      </x:c>
      <x:c r="F22" s="40" t="str">
        <x:v>String</x:v>
      </x:c>
      <x:c r="G22" s="40" t="str">
        <x:v>Không</x:v>
      </x:c>
      <x:c r="H22" s="40" t="str">
        <x:v>Cần bổ sung</x:v>
      </x:c>
      <x:c r="I22" s="39" t="str">
        <x:v>Tối đa 200 ký tự</x:v>
      </x:c>
      <x:c r="J22" s="39" t="str">
        <x:v>Chi tiết</x:v>
      </x:c>
      <x:c r="K22" s="40" t="str">
        <x:v>P1 - Nên có</x:v>
      </x:c>
      <x:c r="L22" s="41" t="str"/>
      <x:c r="M22" s="42" t="str"/>
    </x:row>
    <x:row r="23" ht="34" customHeight="1">
      <x:c r="A23" s="37" t="n">
        <x:v>15</x:v>
      </x:c>
      <x:c r="B23" s="55" t="str">
        <x:v>Giáo viên trung tâm</x:v>
      </x:c>
      <x:c r="C23" s="39" t="str">
        <x:v>Chuyên môn</x:v>
      </x:c>
      <x:c r="D23" s="39" t="str">
        <x:v>Bằng cấp cao nhất</x:v>
      </x:c>
      <x:c r="E23" s="39" t="str">
        <x:v>degree</x:v>
      </x:c>
      <x:c r="F23" s="40" t="str">
        <x:v>String</x:v>
      </x:c>
      <x:c r="G23" s="40" t="str">
        <x:v>Không</x:v>
      </x:c>
      <x:c r="H23" s="40" t="str">
        <x:v>Cần bổ sung</x:v>
      </x:c>
      <x:c r="I23" s="39" t="str">
        <x:v>Danh mục cấu hình hoặc nhập tự do</x:v>
      </x:c>
      <x:c r="J23" s="39" t="str">
        <x:v>Chi tiết</x:v>
      </x:c>
      <x:c r="K23" s="40" t="str">
        <x:v>P1 - Nên có</x:v>
      </x:c>
      <x:c r="L23" s="41" t="str"/>
      <x:c r="M23" s="42" t="str"/>
    </x:row>
    <x:row r="24" ht="34" customHeight="1">
      <x:c r="A24" s="37" t="n">
        <x:v>16</x:v>
      </x:c>
      <x:c r="B24" s="55" t="str">
        <x:v>Giáo viên trung tâm</x:v>
      </x:c>
      <x:c r="C24" s="39" t="str">
        <x:v>Chuyên môn</x:v>
      </x:c>
      <x:c r="D24" s="39" t="str">
        <x:v>Chuyên ngành</x:v>
      </x:c>
      <x:c r="E24" s="39" t="str">
        <x:v>specialization</x:v>
      </x:c>
      <x:c r="F24" s="40" t="str">
        <x:v>String</x:v>
      </x:c>
      <x:c r="G24" s="40" t="str">
        <x:v>Không</x:v>
      </x:c>
      <x:c r="H24" s="40" t="str">
        <x:v>Cần bổ sung</x:v>
      </x:c>
      <x:c r="I24" s="39" t="str">
        <x:v>Tối đa 200 ký tự</x:v>
      </x:c>
      <x:c r="J24" s="39" t="str">
        <x:v>Chi tiết</x:v>
      </x:c>
      <x:c r="K24" s="40" t="str">
        <x:v>P1 - Nên có</x:v>
      </x:c>
      <x:c r="L24" s="41" t="str"/>
      <x:c r="M24" s="42" t="str"/>
    </x:row>
    <x:row r="25" ht="34" customHeight="1">
      <x:c r="A25" s="37" t="n">
        <x:v>17</x:v>
      </x:c>
      <x:c r="B25" s="55" t="str">
        <x:v>Giáo viên trung tâm</x:v>
      </x:c>
      <x:c r="C25" s="39" t="str">
        <x:v>Chuyên môn</x:v>
      </x:c>
      <x:c r="D25" s="39" t="str">
        <x:v>Môn giảng dạy</x:v>
      </x:c>
      <x:c r="E25" s="39" t="str">
        <x:v>subjects</x:v>
      </x:c>
      <x:c r="F25" s="40" t="str">
        <x:v>String[]</x:v>
      </x:c>
      <x:c r="G25" s="40" t="str">
        <x:v>Có</x:v>
      </x:c>
      <x:c r="H25" s="40" t="str">
        <x:v>Đã có</x:v>
      </x:c>
      <x:c r="I25" s="39" t="str">
        <x:v>Chọn ít nhất 1 môn</x:v>
      </x:c>
      <x:c r="J25" s="39" t="str">
        <x:v>Bộ lọc + danh sách + chi tiết</x:v>
      </x:c>
      <x:c r="K25" s="40" t="str">
        <x:v>P0 - Bắt buộc</x:v>
      </x:c>
      <x:c r="L25" s="41" t="str"/>
      <x:c r="M25" s="42" t="str"/>
    </x:row>
    <x:row r="26" ht="34" customHeight="1">
      <x:c r="A26" s="37" t="n">
        <x:v>18</x:v>
      </x:c>
      <x:c r="B26" s="55" t="str">
        <x:v>Giáo viên trung tâm</x:v>
      </x:c>
      <x:c r="C26" s="39" t="str">
        <x:v>Chuyên môn</x:v>
      </x:c>
      <x:c r="D26" s="39" t="str">
        <x:v>Khối lớp có thể dạy</x:v>
      </x:c>
      <x:c r="E26" s="39" t="str">
        <x:v>teachingLevels</x:v>
      </x:c>
      <x:c r="F26" s="40" t="str">
        <x:v>String[]</x:v>
      </x:c>
      <x:c r="G26" s="40" t="str">
        <x:v>Có</x:v>
      </x:c>
      <x:c r="H26" s="40" t="str">
        <x:v>Cần bổ sung</x:v>
      </x:c>
      <x:c r="I26" s="39" t="str">
        <x:v>Chọn ít nhất 1 khối/cấp độ</x:v>
      </x:c>
      <x:c r="J26" s="39" t="str">
        <x:v>Bộ lọc + chi tiết</x:v>
      </x:c>
      <x:c r="K26" s="40" t="str">
        <x:v>P0 - Bắt buộc</x:v>
      </x:c>
      <x:c r="L26" s="41" t="str"/>
      <x:c r="M26" s="42" t="str"/>
    </x:row>
    <x:row r="27" ht="34" customHeight="1">
      <x:c r="A27" s="37" t="n">
        <x:v>19</x:v>
      </x:c>
      <x:c r="B27" s="55" t="str">
        <x:v>Giáo viên trung tâm</x:v>
      </x:c>
      <x:c r="C27" s="39" t="str">
        <x:v>Chuyên môn</x:v>
      </x:c>
      <x:c r="D27" s="39" t="str">
        <x:v>Số năm kinh nghiệm</x:v>
      </x:c>
      <x:c r="E27" s="39" t="str">
        <x:v>yearsExperience</x:v>
      </x:c>
      <x:c r="F27" s="40" t="str">
        <x:v>Integer</x:v>
      </x:c>
      <x:c r="G27" s="40" t="str">
        <x:v>Không</x:v>
      </x:c>
      <x:c r="H27" s="40" t="str">
        <x:v>Cần bổ sung</x:v>
      </x:c>
      <x:c r="I27" s="39" t="str">
        <x:v>Từ 0 đến 60</x:v>
      </x:c>
      <x:c r="J27" s="39" t="str">
        <x:v>Danh sách + chi tiết</x:v>
      </x:c>
      <x:c r="K27" s="40" t="str">
        <x:v>P1 - Nên có</x:v>
      </x:c>
      <x:c r="L27" s="41" t="str"/>
      <x:c r="M27" s="42" t="str"/>
    </x:row>
    <x:row r="28" ht="34" customHeight="1">
      <x:c r="A28" s="37" t="n">
        <x:v>20</x:v>
      </x:c>
      <x:c r="B28" s="55" t="str">
        <x:v>Giáo viên trung tâm</x:v>
      </x:c>
      <x:c r="C28" s="39" t="str">
        <x:v>Chuyên môn</x:v>
      </x:c>
      <x:c r="D28" s="39" t="str">
        <x:v>Giới thiệu ngắn</x:v>
      </x:c>
      <x:c r="E28" s="39" t="str">
        <x:v>bio</x:v>
      </x:c>
      <x:c r="F28" s="40" t="str">
        <x:v>Text</x:v>
      </x:c>
      <x:c r="G28" s="40" t="str">
        <x:v>Không</x:v>
      </x:c>
      <x:c r="H28" s="40" t="str">
        <x:v>Cần bổ sung</x:v>
      </x:c>
      <x:c r="I28" s="39" t="str">
        <x:v>Tối đa 1.000 ký tự</x:v>
      </x:c>
      <x:c r="J28" s="39" t="str">
        <x:v>Chi tiết</x:v>
      </x:c>
      <x:c r="K28" s="40" t="str">
        <x:v>P2 - Tùy chọn</x:v>
      </x:c>
      <x:c r="L28" s="41" t="str"/>
      <x:c r="M28" s="42" t="str"/>
    </x:row>
    <x:row r="29" ht="34" customHeight="1">
      <x:c r="A29" s="37" t="n">
        <x:v>21</x:v>
      </x:c>
      <x:c r="B29" s="55" t="str">
        <x:v>Giáo viên trung tâm</x:v>
      </x:c>
      <x:c r="C29" s="39" t="str">
        <x:v>Phân công</x:v>
      </x:c>
      <x:c r="D29" s="39" t="str">
        <x:v>Cơ sở làm việc</x:v>
      </x:c>
      <x:c r="E29" s="39" t="str">
        <x:v>campusIds</x:v>
      </x:c>
      <x:c r="F29" s="40" t="str">
        <x:v>UUID[]</x:v>
      </x:c>
      <x:c r="G29" s="40" t="str">
        <x:v>Có</x:v>
      </x:c>
      <x:c r="H29" s="40" t="str">
        <x:v>Nên đổi cấu trúc</x:v>
      </x:c>
      <x:c r="I29" s="39" t="str">
        <x:v>Thay districts; liên kết bảng cơ sở</x:v>
      </x:c>
      <x:c r="J29" s="39" t="str">
        <x:v>Bộ lọc + chi tiết</x:v>
      </x:c>
      <x:c r="K29" s="40" t="str">
        <x:v>P0 - Bắt buộc</x:v>
      </x:c>
      <x:c r="L29" s="41" t="str"/>
      <x:c r="M29" s="42" t="str"/>
    </x:row>
    <x:row r="30" ht="34" customHeight="1">
      <x:c r="A30" s="37" t="n">
        <x:v>22</x:v>
      </x:c>
      <x:c r="B30" s="55" t="str">
        <x:v>Giáo viên trung tâm</x:v>
      </x:c>
      <x:c r="C30" s="39" t="str">
        <x:v>Lịch dạy</x:v>
      </x:c>
      <x:c r="D30" s="39" t="str">
        <x:v>Ngày có thể dạy</x:v>
      </x:c>
      <x:c r="E30" s="39" t="str">
        <x:v>availableWeekdays</x:v>
      </x:c>
      <x:c r="F30" s="40" t="str">
        <x:v>Enum[]</x:v>
      </x:c>
      <x:c r="G30" s="40" t="str">
        <x:v>Không</x:v>
      </x:c>
      <x:c r="H30" s="40" t="str">
        <x:v>Cần bổ sung</x:v>
      </x:c>
      <x:c r="I30" s="39" t="str">
        <x:v>T2; T3; T4; T5; T6; T7; CN</x:v>
      </x:c>
      <x:c r="J30" s="39" t="str">
        <x:v>Chi tiết</x:v>
      </x:c>
      <x:c r="K30" s="40" t="str">
        <x:v>P1 - Nên có</x:v>
      </x:c>
      <x:c r="L30" s="41" t="str"/>
      <x:c r="M30" s="42" t="str"/>
    </x:row>
    <x:row r="31" ht="34" customHeight="1">
      <x:c r="A31" s="37" t="n">
        <x:v>23</x:v>
      </x:c>
      <x:c r="B31" s="55" t="str">
        <x:v>Giáo viên trung tâm</x:v>
      </x:c>
      <x:c r="C31" s="39" t="str">
        <x:v>Lịch dạy</x:v>
      </x:c>
      <x:c r="D31" s="39" t="str">
        <x:v>Khung giờ có thể dạy</x:v>
      </x:c>
      <x:c r="E31" s="39" t="str">
        <x:v>availableTimeSlots</x:v>
      </x:c>
      <x:c r="F31" s="40" t="str">
        <x:v>JSON</x:v>
      </x:c>
      <x:c r="G31" s="40" t="str">
        <x:v>Không</x:v>
      </x:c>
      <x:c r="H31" s="40" t="str">
        <x:v>Cần bổ sung</x:v>
      </x:c>
      <x:c r="I31" s="39" t="str">
        <x:v>Theo từng ngày; giờ kết thúc sau giờ bắt đầu</x:v>
      </x:c>
      <x:c r="J31" s="39" t="str">
        <x:v>Chi tiết</x:v>
      </x:c>
      <x:c r="K31" s="40" t="str">
        <x:v>P1 - Nên có</x:v>
      </x:c>
      <x:c r="L31" s="41" t="str"/>
      <x:c r="M31" s="42" t="str"/>
    </x:row>
    <x:row r="32" ht="34" customHeight="1">
      <x:c r="A32" s="37" t="n">
        <x:v>24</x:v>
      </x:c>
      <x:c r="B32" s="55" t="str">
        <x:v>Giáo viên trung tâm</x:v>
      </x:c>
      <x:c r="C32" s="39" t="str">
        <x:v>Hệ thống</x:v>
      </x:c>
      <x:c r="D32" s="39" t="str">
        <x:v>Người tạo</x:v>
      </x:c>
      <x:c r="E32" s="39" t="str">
        <x:v>createdById</x:v>
      </x:c>
      <x:c r="F32" s="40" t="str">
        <x:v>UUID</x:v>
      </x:c>
      <x:c r="G32" s="40" t="str">
        <x:v>Hệ thống</x:v>
      </x:c>
      <x:c r="H32" s="40" t="str">
        <x:v>Đã có</x:v>
      </x:c>
      <x:c r="I32" s="39" t="str">
        <x:v>Liên kết tài khoản admin</x:v>
      </x:c>
      <x:c r="J32" s="39" t="str">
        <x:v>Chi tiết</x:v>
      </x:c>
      <x:c r="K32" s="40" t="str">
        <x:v>P0 - Bắt buộc</x:v>
      </x:c>
      <x:c r="L32" s="41" t="str"/>
      <x:c r="M32" s="42" t="str"/>
    </x:row>
    <x:row r="33" ht="34" customHeight="1">
      <x:c r="A33" s="37" t="n">
        <x:v>25</x:v>
      </x:c>
      <x:c r="B33" s="55" t="str">
        <x:v>Giáo viên trung tâm</x:v>
      </x:c>
      <x:c r="C33" s="39" t="str">
        <x:v>Hệ thống</x:v>
      </x:c>
      <x:c r="D33" s="39" t="str">
        <x:v>Ngày tạo</x:v>
      </x:c>
      <x:c r="E33" s="39" t="str">
        <x:v>createdAt</x:v>
      </x:c>
      <x:c r="F33" s="40" t="str">
        <x:v>DateTime</x:v>
      </x:c>
      <x:c r="G33" s="40" t="str">
        <x:v>Hệ thống</x:v>
      </x:c>
      <x:c r="H33" s="40" t="str">
        <x:v>Đã có</x:v>
      </x:c>
      <x:c r="I33" s="39" t="str">
        <x:v>Tự động</x:v>
      </x:c>
      <x:c r="J33" s="39" t="str">
        <x:v>Chi tiết</x:v>
      </x:c>
      <x:c r="K33" s="40" t="str">
        <x:v>P0 - Bắt buộc</x:v>
      </x:c>
      <x:c r="L33" s="41" t="str"/>
      <x:c r="M33" s="42" t="str"/>
    </x:row>
    <x:row r="34" ht="34" customHeight="1">
      <x:c r="A34" s="37" t="n">
        <x:v>26</x:v>
      </x:c>
      <x:c r="B34" s="55" t="str">
        <x:v>Giáo viên trung tâm</x:v>
      </x:c>
      <x:c r="C34" s="39" t="str">
        <x:v>Hệ thống</x:v>
      </x:c>
      <x:c r="D34" s="39" t="str">
        <x:v>Ngày cập nhật</x:v>
      </x:c>
      <x:c r="E34" s="39" t="str">
        <x:v>updatedAt</x:v>
      </x:c>
      <x:c r="F34" s="40" t="str">
        <x:v>DateTime</x:v>
      </x:c>
      <x:c r="G34" s="40" t="str">
        <x:v>Hệ thống</x:v>
      </x:c>
      <x:c r="H34" s="40" t="str">
        <x:v>Đã có</x:v>
      </x:c>
      <x:c r="I34" s="39" t="str">
        <x:v>Tự động</x:v>
      </x:c>
      <x:c r="J34" s="39" t="str">
        <x:v>Chi tiết</x:v>
      </x:c>
      <x:c r="K34" s="40" t="str">
        <x:v>P0 - Bắt buộc</x:v>
      </x:c>
      <x:c r="L34" s="41" t="str"/>
      <x:c r="M34" s="42" t="str"/>
    </x:row>
    <x:row r="35" ht="34" customHeight="1">
      <x:c r="A35" s="37" t="n">
        <x:v>27</x:v>
      </x:c>
      <x:c r="B35" s="56" t="str">
        <x:v>Lớp trung tâm</x:v>
      </x:c>
      <x:c r="C35" s="39" t="str">
        <x:v>Định danh</x:v>
      </x:c>
      <x:c r="D35" s="39" t="str">
        <x:v>ID hệ thống</x:v>
      </x:c>
      <x:c r="E35" s="39" t="str">
        <x:v>id</x:v>
      </x:c>
      <x:c r="F35" s="40" t="str">
        <x:v>UUID</x:v>
      </x:c>
      <x:c r="G35" s="40" t="str">
        <x:v>Hệ thống</x:v>
      </x:c>
      <x:c r="H35" s="40" t="str">
        <x:v>Tự sinh</x:v>
      </x:c>
      <x:c r="I35" s="39" t="str">
        <x:v>Khóa chính</x:v>
      </x:c>
      <x:c r="J35" s="39" t="str">
        <x:v>Ẩn</x:v>
      </x:c>
      <x:c r="K35" s="40" t="str">
        <x:v>P0 - Bắt buộc</x:v>
      </x:c>
      <x:c r="L35" s="41" t="str"/>
      <x:c r="M35" s="42" t="str"/>
    </x:row>
    <x:row r="36" ht="34" customHeight="1">
      <x:c r="A36" s="37" t="n">
        <x:v>28</x:v>
      </x:c>
      <x:c r="B36" s="56" t="str">
        <x:v>Lớp trung tâm</x:v>
      </x:c>
      <x:c r="C36" s="39" t="str">
        <x:v>Định danh</x:v>
      </x:c>
      <x:c r="D36" s="39" t="str">
        <x:v>Mã lớp</x:v>
      </x:c>
      <x:c r="E36" s="39" t="str">
        <x:v>classCode</x:v>
      </x:c>
      <x:c r="F36" s="40" t="str">
        <x:v>String</x:v>
      </x:c>
      <x:c r="G36" s="40" t="str">
        <x:v>Có</x:v>
      </x:c>
      <x:c r="H36" s="40" t="str">
        <x:v>Cần bổ sung</x:v>
      </x:c>
      <x:c r="I36" s="39" t="str">
        <x:v>Duy nhất; định dạng LTT-xxxx</x:v>
      </x:c>
      <x:c r="J36" s="39" t="str">
        <x:v>Danh sách + chi tiết</x:v>
      </x:c>
      <x:c r="K36" s="40" t="str">
        <x:v>P0 - Bắt buộc</x:v>
      </x:c>
      <x:c r="L36" s="41" t="str"/>
      <x:c r="M36" s="42" t="str"/>
    </x:row>
    <x:row r="37" ht="34" customHeight="1">
      <x:c r="A37" s="37" t="n">
        <x:v>29</x:v>
      </x:c>
      <x:c r="B37" s="56" t="str">
        <x:v>Lớp trung tâm</x:v>
      </x:c>
      <x:c r="C37" s="39" t="str">
        <x:v>Cơ bản</x:v>
      </x:c>
      <x:c r="D37" s="39" t="str">
        <x:v>Tên lớp</x:v>
      </x:c>
      <x:c r="E37" s="39" t="str">
        <x:v>title</x:v>
      </x:c>
      <x:c r="F37" s="40" t="str">
        <x:v>String</x:v>
      </x:c>
      <x:c r="G37" s="40" t="str">
        <x:v>Có</x:v>
      </x:c>
      <x:c r="H37" s="40" t="str">
        <x:v>Đã có</x:v>
      </x:c>
      <x:c r="I37" s="39" t="str">
        <x:v>3-200 ký tự</x:v>
      </x:c>
      <x:c r="J37" s="39" t="str">
        <x:v>Danh sách + chi tiết</x:v>
      </x:c>
      <x:c r="K37" s="40" t="str">
        <x:v>P0 - Bắt buộc</x:v>
      </x:c>
      <x:c r="L37" s="41" t="str"/>
      <x:c r="M37" s="42" t="str"/>
    </x:row>
    <x:row r="38" ht="34" customHeight="1">
      <x:c r="A38" s="37" t="n">
        <x:v>30</x:v>
      </x:c>
      <x:c r="B38" s="56" t="str">
        <x:v>Lớp trung tâm</x:v>
      </x:c>
      <x:c r="C38" s="39" t="str">
        <x:v>Cơ bản</x:v>
      </x:c>
      <x:c r="D38" s="39" t="str">
        <x:v>Nhóm chương trình</x:v>
      </x:c>
      <x:c r="E38" s="39" t="str">
        <x:v>programCategory</x:v>
      </x:c>
      <x:c r="F38" s="40" t="str">
        <x:v>Enum</x:v>
      </x:c>
      <x:c r="G38" s="40" t="str">
        <x:v>Có</x:v>
      </x:c>
      <x:c r="H38" s="40" t="str">
        <x:v>Cần bổ sung</x:v>
      </x:c>
      <x:c r="I38" s="39" t="str">
        <x:v>Văn hóa; Anh văn; Năng khiếu</x:v>
      </x:c>
      <x:c r="J38" s="39" t="str">
        <x:v>Bộ lọc + danh sách + chi tiết</x:v>
      </x:c>
      <x:c r="K38" s="40" t="str">
        <x:v>P0 - Bắt buộc</x:v>
      </x:c>
      <x:c r="L38" s="41" t="str"/>
      <x:c r="M38" s="42" t="str"/>
    </x:row>
    <x:row r="39" ht="34" customHeight="1">
      <x:c r="A39" s="37" t="n">
        <x:v>31</x:v>
      </x:c>
      <x:c r="B39" s="56" t="str">
        <x:v>Lớp trung tâm</x:v>
      </x:c>
      <x:c r="C39" s="39" t="str">
        <x:v>Cơ bản</x:v>
      </x:c>
      <x:c r="D39" s="39" t="str">
        <x:v>Môn học</x:v>
      </x:c>
      <x:c r="E39" s="39" t="str">
        <x:v>subject</x:v>
      </x:c>
      <x:c r="F39" s="40" t="str">
        <x:v>String/UUID</x:v>
      </x:c>
      <x:c r="G39" s="40" t="str">
        <x:v>Có</x:v>
      </x:c>
      <x:c r="H39" s="40" t="str">
        <x:v>Đã có</x:v>
      </x:c>
      <x:c r="I39" s="39" t="str">
        <x:v>Nên liên kết danh mục môn học</x:v>
      </x:c>
      <x:c r="J39" s="39" t="str">
        <x:v>Bộ lọc + danh sách + chi tiết</x:v>
      </x:c>
      <x:c r="K39" s="40" t="str">
        <x:v>P0 - Bắt buộc</x:v>
      </x:c>
      <x:c r="L39" s="41" t="str"/>
      <x:c r="M39" s="42" t="str"/>
    </x:row>
    <x:row r="40" ht="34" customHeight="1">
      <x:c r="A40" s="37" t="n">
        <x:v>32</x:v>
      </x:c>
      <x:c r="B40" s="56" t="str">
        <x:v>Lớp trung tâm</x:v>
      </x:c>
      <x:c r="C40" s="39" t="str">
        <x:v>Cơ bản</x:v>
      </x:c>
      <x:c r="D40" s="39" t="str">
        <x:v>Khối lớp / cấp độ</x:v>
      </x:c>
      <x:c r="E40" s="39" t="str">
        <x:v>grade</x:v>
      </x:c>
      <x:c r="F40" s="40" t="str">
        <x:v>String/UUID</x:v>
      </x:c>
      <x:c r="G40" s="40" t="str">
        <x:v>Có</x:v>
      </x:c>
      <x:c r="H40" s="40" t="str">
        <x:v>Đã có</x:v>
      </x:c>
      <x:c r="I40" s="39" t="str">
        <x:v>Nên liên kết danh mục cấp độ</x:v>
      </x:c>
      <x:c r="J40" s="39" t="str">
        <x:v>Bộ lọc + danh sách + chi tiết</x:v>
      </x:c>
      <x:c r="K40" s="40" t="str">
        <x:v>P0 - Bắt buộc</x:v>
      </x:c>
      <x:c r="L40" s="41" t="str"/>
      <x:c r="M40" s="42" t="str"/>
    </x:row>
    <x:row r="41" ht="34" customHeight="1">
      <x:c r="A41" s="37" t="n">
        <x:v>33</x:v>
      </x:c>
      <x:c r="B41" s="56" t="str">
        <x:v>Lớp trung tâm</x:v>
      </x:c>
      <x:c r="C41" s="39" t="str">
        <x:v>Địa điểm</x:v>
      </x:c>
      <x:c r="D41" s="39" t="str">
        <x:v>Cơ sở</x:v>
      </x:c>
      <x:c r="E41" s="39" t="str">
        <x:v>campusId</x:v>
      </x:c>
      <x:c r="F41" s="40" t="str">
        <x:v>UUID</x:v>
      </x:c>
      <x:c r="G41" s="40" t="str">
        <x:v>Có</x:v>
      </x:c>
      <x:c r="H41" s="40" t="str">
        <x:v>Nên đổi cấu trúc</x:v>
      </x:c>
      <x:c r="I41" s="39" t="str">
        <x:v>Thay district; liên kết bảng cơ sở</x:v>
      </x:c>
      <x:c r="J41" s="39" t="str">
        <x:v>Bộ lọc + danh sách + chi tiết</x:v>
      </x:c>
      <x:c r="K41" s="40" t="str">
        <x:v>P0 - Bắt buộc</x:v>
      </x:c>
      <x:c r="L41" s="41" t="str"/>
      <x:c r="M41" s="42" t="str"/>
    </x:row>
    <x:row r="42" ht="34" customHeight="1">
      <x:c r="A42" s="37" t="n">
        <x:v>34</x:v>
      </x:c>
      <x:c r="B42" s="56" t="str">
        <x:v>Lớp trung tâm</x:v>
      </x:c>
      <x:c r="C42" s="39" t="str">
        <x:v>Địa điểm</x:v>
      </x:c>
      <x:c r="D42" s="39" t="str">
        <x:v>Phòng học</x:v>
      </x:c>
      <x:c r="E42" s="39" t="str">
        <x:v>roomId</x:v>
      </x:c>
      <x:c r="F42" s="40" t="str">
        <x:v>UUID</x:v>
      </x:c>
      <x:c r="G42" s="40" t="str">
        <x:v>Không</x:v>
      </x:c>
      <x:c r="H42" s="40" t="str">
        <x:v>Cần bổ sung</x:v>
      </x:c>
      <x:c r="I42" s="39" t="str">
        <x:v>Liên kết bảng phòng; không trùng lịch</x:v>
      </x:c>
      <x:c r="J42" s="39" t="str">
        <x:v>Danh sách + chi tiết</x:v>
      </x:c>
      <x:c r="K42" s="40" t="str">
        <x:v>P1 - Nên có</x:v>
      </x:c>
      <x:c r="L42" s="41" t="str"/>
      <x:c r="M42" s="42" t="str"/>
    </x:row>
    <x:row r="43" ht="34" customHeight="1">
      <x:c r="A43" s="37" t="n">
        <x:v>35</x:v>
      </x:c>
      <x:c r="B43" s="56" t="str">
        <x:v>Lớp trung tâm</x:v>
      </x:c>
      <x:c r="C43" s="39" t="str">
        <x:v>Giảng dạy</x:v>
      </x:c>
      <x:c r="D43" s="39" t="str">
        <x:v>Giáo viên phụ trách</x:v>
      </x:c>
      <x:c r="E43" s="39" t="str">
        <x:v>centerTeacherId</x:v>
      </x:c>
      <x:c r="F43" s="40" t="str">
        <x:v>UUID</x:v>
      </x:c>
      <x:c r="G43" s="40" t="str">
        <x:v>Theo nghiệp vụ</x:v>
      </x:c>
      <x:c r="H43" s="40" t="str">
        <x:v>Đã có</x:v>
      </x:c>
      <x:c r="I43" s="39" t="str">
        <x:v>Giáo viên ACTIVE; không trùng lịch</x:v>
      </x:c>
      <x:c r="J43" s="39" t="str">
        <x:v>Danh sách + chi tiết</x:v>
      </x:c>
      <x:c r="K43" s="40" t="str">
        <x:v>P0 - Bắt buộc</x:v>
      </x:c>
      <x:c r="L43" s="41" t="str"/>
      <x:c r="M43" s="42" t="str"/>
    </x:row>
    <x:row r="44" ht="34" customHeight="1">
      <x:c r="A44" s="37" t="n">
        <x:v>36</x:v>
      </x:c>
      <x:c r="B44" s="56" t="str">
        <x:v>Lớp trung tâm</x:v>
      </x:c>
      <x:c r="C44" s="39" t="str">
        <x:v>Giảng dạy</x:v>
      </x:c>
      <x:c r="D44" s="39" t="str">
        <x:v>Giáo viên trợ giảng</x:v>
      </x:c>
      <x:c r="E44" s="39" t="str">
        <x:v>assistantTeacherIds</x:v>
      </x:c>
      <x:c r="F44" s="40" t="str">
        <x:v>UUID[]</x:v>
      </x:c>
      <x:c r="G44" s="40" t="str">
        <x:v>Không</x:v>
      </x:c>
      <x:c r="H44" s="40" t="str">
        <x:v>Cần bổ sung</x:v>
      </x:c>
      <x:c r="I44" s="39" t="str">
        <x:v>Giáo viên ACTIVE</x:v>
      </x:c>
      <x:c r="J44" s="39" t="str">
        <x:v>Chi tiết</x:v>
      </x:c>
      <x:c r="K44" s="40" t="str">
        <x:v>P2 - Tùy chọn</x:v>
      </x:c>
      <x:c r="L44" s="41" t="str"/>
      <x:c r="M44" s="42" t="str"/>
    </x:row>
    <x:row r="45" ht="34" customHeight="1">
      <x:c r="A45" s="37" t="n">
        <x:v>37</x:v>
      </x:c>
      <x:c r="B45" s="56" t="str">
        <x:v>Lớp trung tâm</x:v>
      </x:c>
      <x:c r="C45" s="39" t="str">
        <x:v>Sĩ số</x:v>
      </x:c>
      <x:c r="D45" s="39" t="str">
        <x:v>Sĩ số tối thiểu</x:v>
      </x:c>
      <x:c r="E45" s="39" t="str">
        <x:v>minStudents</x:v>
      </x:c>
      <x:c r="F45" s="40" t="str">
        <x:v>Integer</x:v>
      </x:c>
      <x:c r="G45" s="40" t="str">
        <x:v>Không</x:v>
      </x:c>
      <x:c r="H45" s="40" t="str">
        <x:v>Cần bổ sung</x:v>
      </x:c>
      <x:c r="I45" s="39" t="str">
        <x:v>Từ 1; không lớn hơn sĩ số tối đa</x:v>
      </x:c>
      <x:c r="J45" s="39" t="str">
        <x:v>Chi tiết</x:v>
      </x:c>
      <x:c r="K45" s="40" t="str">
        <x:v>P2 - Tùy chọn</x:v>
      </x:c>
      <x:c r="L45" s="41" t="str"/>
      <x:c r="M45" s="42" t="str"/>
    </x:row>
    <x:row r="46" ht="34" customHeight="1">
      <x:c r="A46" s="37" t="n">
        <x:v>38</x:v>
      </x:c>
      <x:c r="B46" s="56" t="str">
        <x:v>Lớp trung tâm</x:v>
      </x:c>
      <x:c r="C46" s="39" t="str">
        <x:v>Sĩ số</x:v>
      </x:c>
      <x:c r="D46" s="39" t="str">
        <x:v>Sĩ số tối đa</x:v>
      </x:c>
      <x:c r="E46" s="39" t="str">
        <x:v>maxStudents</x:v>
      </x:c>
      <x:c r="F46" s="40" t="str">
        <x:v>Integer</x:v>
      </x:c>
      <x:c r="G46" s="40" t="str">
        <x:v>Có</x:v>
      </x:c>
      <x:c r="H46" s="40" t="str">
        <x:v>Cần bổ sung</x:v>
      </x:c>
      <x:c r="I46" s="39" t="str">
        <x:v>Số nguyên dương</x:v>
      </x:c>
      <x:c r="J46" s="39" t="str">
        <x:v>Danh sách + chi tiết</x:v>
      </x:c>
      <x:c r="K46" s="40" t="str">
        <x:v>P0 - Bắt buộc</x:v>
      </x:c>
      <x:c r="L46" s="41" t="str"/>
      <x:c r="M46" s="42" t="str"/>
    </x:row>
    <x:row r="47" ht="34" customHeight="1">
      <x:c r="A47" s="37" t="n">
        <x:v>39</x:v>
      </x:c>
      <x:c r="B47" s="56" t="str">
        <x:v>Lớp trung tâm</x:v>
      </x:c>
      <x:c r="C47" s="39" t="str">
        <x:v>Thời gian</x:v>
      </x:c>
      <x:c r="D47" s="39" t="str">
        <x:v>Ngày bắt đầu</x:v>
      </x:c>
      <x:c r="E47" s="39" t="str">
        <x:v>startDate</x:v>
      </x:c>
      <x:c r="F47" s="40" t="str">
        <x:v>Date</x:v>
      </x:c>
      <x:c r="G47" s="40" t="str">
        <x:v>Có</x:v>
      </x:c>
      <x:c r="H47" s="40" t="str">
        <x:v>Cần bổ sung</x:v>
      </x:c>
      <x:c r="I47" s="39" t="str">
        <x:v>Không sau ngày kết thúc</x:v>
      </x:c>
      <x:c r="J47" s="39" t="str">
        <x:v>Danh sách + chi tiết</x:v>
      </x:c>
      <x:c r="K47" s="40" t="str">
        <x:v>P0 - Bắt buộc</x:v>
      </x:c>
      <x:c r="L47" s="41" t="str"/>
      <x:c r="M47" s="42" t="str"/>
    </x:row>
    <x:row r="48" ht="34" customHeight="1">
      <x:c r="A48" s="37" t="n">
        <x:v>40</x:v>
      </x:c>
      <x:c r="B48" s="56" t="str">
        <x:v>Lớp trung tâm</x:v>
      </x:c>
      <x:c r="C48" s="39" t="str">
        <x:v>Thời gian</x:v>
      </x:c>
      <x:c r="D48" s="39" t="str">
        <x:v>Ngày kết thúc</x:v>
      </x:c>
      <x:c r="E48" s="39" t="str">
        <x:v>endDate</x:v>
      </x:c>
      <x:c r="F48" s="40" t="str">
        <x:v>Date</x:v>
      </x:c>
      <x:c r="G48" s="40" t="str">
        <x:v>Không</x:v>
      </x:c>
      <x:c r="H48" s="40" t="str">
        <x:v>Cần bổ sung</x:v>
      </x:c>
      <x:c r="I48" s="39" t="str">
        <x:v>Có thể trống với lớp chưa chốt khóa</x:v>
      </x:c>
      <x:c r="J48" s="39" t="str">
        <x:v>Chi tiết</x:v>
      </x:c>
      <x:c r="K48" s="40" t="str">
        <x:v>P1 - Nên có</x:v>
      </x:c>
      <x:c r="L48" s="41" t="str"/>
      <x:c r="M48" s="42" t="str"/>
    </x:row>
    <x:row r="49" ht="34" customHeight="1">
      <x:c r="A49" s="37" t="n">
        <x:v>41</x:v>
      </x:c>
      <x:c r="B49" s="56" t="str">
        <x:v>Lớp trung tâm</x:v>
      </x:c>
      <x:c r="C49" s="39" t="str">
        <x:v>Thời gian</x:v>
      </x:c>
      <x:c r="D49" s="39" t="str">
        <x:v>Lịch học</x:v>
      </x:c>
      <x:c r="E49" s="39" t="str">
        <x:v>scheduleSlots</x:v>
      </x:c>
      <x:c r="F49" s="40" t="str">
        <x:v>JSON</x:v>
      </x:c>
      <x:c r="G49" s="40" t="str">
        <x:v>Có</x:v>
      </x:c>
      <x:c r="H49" s="40" t="str">
        <x:v>Nên đổi cấu trúc</x:v>
      </x:c>
      <x:c r="I49" s="39" t="str">
        <x:v>Thay schedule dạng chuỗi; gồm ngày, giờ bắt đầu, giờ kết thúc</x:v>
      </x:c>
      <x:c r="J49" s="39" t="str">
        <x:v>Danh sách + chi tiết</x:v>
      </x:c>
      <x:c r="K49" s="40" t="str">
        <x:v>P0 - Bắt buộc</x:v>
      </x:c>
      <x:c r="L49" s="41" t="str"/>
      <x:c r="M49" s="42" t="str"/>
    </x:row>
    <x:row r="50" ht="34" customHeight="1">
      <x:c r="A50" s="37" t="n">
        <x:v>42</x:v>
      </x:c>
      <x:c r="B50" s="56" t="str">
        <x:v>Lớp trung tâm</x:v>
      </x:c>
      <x:c r="C50" s="39" t="str">
        <x:v>Thời gian</x:v>
      </x:c>
      <x:c r="D50" s="39" t="str">
        <x:v>Thời lượng mỗi buổi</x:v>
      </x:c>
      <x:c r="E50" s="39" t="str">
        <x:v>sessionDurationMinutes</x:v>
      </x:c>
      <x:c r="F50" s="40" t="str">
        <x:v>Integer</x:v>
      </x:c>
      <x:c r="G50" s="40" t="str">
        <x:v>Có</x:v>
      </x:c>
      <x:c r="H50" s="40" t="str">
        <x:v>Cần bổ sung</x:v>
      </x:c>
      <x:c r="I50" s="39" t="str">
        <x:v>Phút; số nguyên dương</x:v>
      </x:c>
      <x:c r="J50" s="39" t="str">
        <x:v>Chi tiết</x:v>
      </x:c>
      <x:c r="K50" s="40" t="str">
        <x:v>P0 - Bắt buộc</x:v>
      </x:c>
      <x:c r="L50" s="41" t="str"/>
      <x:c r="M50" s="42" t="str"/>
    </x:row>
    <x:row r="51" ht="34" customHeight="1">
      <x:c r="A51" s="37" t="n">
        <x:v>43</x:v>
      </x:c>
      <x:c r="B51" s="56" t="str">
        <x:v>Lớp trung tâm</x:v>
      </x:c>
      <x:c r="C51" s="39" t="str">
        <x:v>Học phí</x:v>
      </x:c>
      <x:c r="D51" s="39" t="str">
        <x:v>Gói học phí</x:v>
      </x:c>
      <x:c r="E51" s="39" t="str">
        <x:v>tuitionPlanId</x:v>
      </x:c>
      <x:c r="F51" s="40" t="str">
        <x:v>UUID</x:v>
      </x:c>
      <x:c r="G51" s="40" t="str">
        <x:v>Có</x:v>
      </x:c>
      <x:c r="H51" s="40" t="str">
        <x:v>Cần bổ sung</x:v>
      </x:c>
      <x:c r="I51" s="39" t="str">
        <x:v>Liên kết bảng giá trung tâm</x:v>
      </x:c>
      <x:c r="J51" s="39" t="str">
        <x:v>Danh sách + chi tiết</x:v>
      </x:c>
      <x:c r="K51" s="40" t="str">
        <x:v>P0 - Bắt buộc</x:v>
      </x:c>
      <x:c r="L51" s="41" t="str"/>
      <x:c r="M51" s="42" t="str"/>
    </x:row>
    <x:row r="52" ht="34" customHeight="1">
      <x:c r="A52" s="37" t="n">
        <x:v>44</x:v>
      </x:c>
      <x:c r="B52" s="56" t="str">
        <x:v>Lớp trung tâm</x:v>
      </x:c>
      <x:c r="C52" s="39" t="str">
        <x:v>Học phí</x:v>
      </x:c>
      <x:c r="D52" s="39" t="str">
        <x:v>Mức học phí áp dụng</x:v>
      </x:c>
      <x:c r="E52" s="39" t="str">
        <x:v>tuitionAmount</x:v>
      </x:c>
      <x:c r="F52" s="40" t="str">
        <x:v>Integer</x:v>
      </x:c>
      <x:c r="G52" s="40" t="str">
        <x:v>Có</x:v>
      </x:c>
      <x:c r="H52" s="40" t="str">
        <x:v>Nên đổi cấu trúc</x:v>
      </x:c>
      <x:c r="I52" s="39" t="str">
        <x:v>Thay feePerHour đối với lớp trung tâm; VND</x:v>
      </x:c>
      <x:c r="J52" s="39" t="str">
        <x:v>Danh sách + chi tiết</x:v>
      </x:c>
      <x:c r="K52" s="40" t="str">
        <x:v>P0 - Bắt buộc</x:v>
      </x:c>
      <x:c r="L52" s="41" t="str"/>
      <x:c r="M52" s="42" t="str"/>
    </x:row>
    <x:row r="53" ht="34" customHeight="1">
      <x:c r="A53" s="37" t="n">
        <x:v>45</x:v>
      </x:c>
      <x:c r="B53" s="56" t="str">
        <x:v>Lớp trung tâm</x:v>
      </x:c>
      <x:c r="C53" s="39" t="str">
        <x:v>Học phí</x:v>
      </x:c>
      <x:c r="D53" s="39" t="str">
        <x:v>Đơn vị học phí</x:v>
      </x:c>
      <x:c r="E53" s="39" t="str">
        <x:v>tuitionUnit</x:v>
      </x:c>
      <x:c r="F53" s="40" t="str">
        <x:v>Enum</x:v>
      </x:c>
      <x:c r="G53" s="40" t="str">
        <x:v>Có</x:v>
      </x:c>
      <x:c r="H53" s="40" t="str">
        <x:v>Cần bổ sung</x:v>
      </x:c>
      <x:c r="I53" s="39" t="str">
        <x:v>4 tuần; 1 tháng; 3 tháng; 6 tháng; 9 tháng; 12 tháng</x:v>
      </x:c>
      <x:c r="J53" s="39" t="str">
        <x:v>Danh sách + chi tiết</x:v>
      </x:c>
      <x:c r="K53" s="40" t="str">
        <x:v>P0 - Bắt buộc</x:v>
      </x:c>
      <x:c r="L53" s="41" t="str"/>
      <x:c r="M53" s="42" t="str"/>
    </x:row>
    <x:row r="54" ht="34" customHeight="1">
      <x:c r="A54" s="37" t="n">
        <x:v>46</x:v>
      </x:c>
      <x:c r="B54" s="56" t="str">
        <x:v>Lớp trung tâm</x:v>
      </x:c>
      <x:c r="C54" s="39" t="str">
        <x:v>Trạng thái</x:v>
      </x:c>
      <x:c r="D54" s="39" t="str">
        <x:v>Trạng thái vận hành</x:v>
      </x:c>
      <x:c r="E54" s="39" t="str">
        <x:v>status</x:v>
      </x:c>
      <x:c r="F54" s="40" t="str">
        <x:v>Enum</x:v>
      </x:c>
      <x:c r="G54" s="40" t="str">
        <x:v>Có</x:v>
      </x:c>
      <x:c r="H54" s="40" t="str">
        <x:v>Nên đổi cấu trúc</x:v>
      </x:c>
      <x:c r="I54" s="39" t="str">
        <x:v>Dự kiến; Đang tuyển sinh; Đang học; Hoàn thành; Hủy</x:v>
      </x:c>
      <x:c r="J54" s="39" t="str">
        <x:v>Bộ lọc + danh sách + chi tiết</x:v>
      </x:c>
      <x:c r="K54" s="40" t="str">
        <x:v>P0 - Bắt buộc</x:v>
      </x:c>
      <x:c r="L54" s="41" t="str"/>
      <x:c r="M54" s="42" t="str"/>
    </x:row>
    <x:row r="55" ht="34" customHeight="1">
      <x:c r="A55" s="37" t="n">
        <x:v>47</x:v>
      </x:c>
      <x:c r="B55" s="56" t="str">
        <x:v>Lớp trung tâm</x:v>
      </x:c>
      <x:c r="C55" s="39" t="str">
        <x:v>Trạng thái</x:v>
      </x:c>
      <x:c r="D55" s="39" t="str">
        <x:v>Trạng thái tuyển sinh</x:v>
      </x:c>
      <x:c r="E55" s="39" t="str">
        <x:v>enrollmentStatus</x:v>
      </x:c>
      <x:c r="F55" s="40" t="str">
        <x:v>Enum</x:v>
      </x:c>
      <x:c r="G55" s="40" t="str">
        <x:v>Có</x:v>
      </x:c>
      <x:c r="H55" s="40" t="str">
        <x:v>Cần bổ sung</x:v>
      </x:c>
      <x:c r="I55" s="39" t="str">
        <x:v>Mở; Đủ chỗ; Tạm dừng; Đóng</x:v>
      </x:c>
      <x:c r="J55" s="39" t="str">
        <x:v>Bộ lọc + danh sách + chi tiết</x:v>
      </x:c>
      <x:c r="K55" s="40" t="str">
        <x:v>P0 - Bắt buộc</x:v>
      </x:c>
      <x:c r="L55" s="41" t="str"/>
      <x:c r="M55" s="42" t="str"/>
    </x:row>
    <x:row r="56" ht="34" customHeight="1">
      <x:c r="A56" s="37" t="n">
        <x:v>48</x:v>
      </x:c>
      <x:c r="B56" s="56" t="str">
        <x:v>Lớp trung tâm</x:v>
      </x:c>
      <x:c r="C56" s="39" t="str">
        <x:v>Hệ thống</x:v>
      </x:c>
      <x:c r="D56" s="39" t="str">
        <x:v>Loại lớp</x:v>
      </x:c>
      <x:c r="E56" s="39" t="str">
        <x:v>classType</x:v>
      </x:c>
      <x:c r="F56" s="40" t="str">
        <x:v>Enum</x:v>
      </x:c>
      <x:c r="G56" s="40" t="str">
        <x:v>Hệ thống</x:v>
      </x:c>
      <x:c r="H56" s="40" t="str">
        <x:v>Đã có</x:v>
      </x:c>
      <x:c r="I56" s="39" t="str">
        <x:v>Cố định LOP_TRUNG_TAM</x:v>
      </x:c>
      <x:c r="J56" s="39" t="str">
        <x:v>Ẩn</x:v>
      </x:c>
      <x:c r="K56" s="40" t="str">
        <x:v>P0 - Bắt buộc</x:v>
      </x:c>
      <x:c r="L56" s="41" t="str"/>
      <x:c r="M56" s="42" t="str"/>
    </x:row>
    <x:row r="57" ht="34" customHeight="1">
      <x:c r="A57" s="37" t="n">
        <x:v>49</x:v>
      </x:c>
      <x:c r="B57" s="56" t="str">
        <x:v>Lớp trung tâm</x:v>
      </x:c>
      <x:c r="C57" s="39" t="str">
        <x:v>Hệ thống</x:v>
      </x:c>
      <x:c r="D57" s="39" t="str">
        <x:v>Loại giáo viên</x:v>
      </x:c>
      <x:c r="E57" s="39" t="str">
        <x:v>tutorType</x:v>
      </x:c>
      <x:c r="F57" s="40" t="str">
        <x:v>Enum</x:v>
      </x:c>
      <x:c r="G57" s="40" t="str">
        <x:v>Hệ thống</x:v>
      </x:c>
      <x:c r="H57" s="40" t="str">
        <x:v>Đã có</x:v>
      </x:c>
      <x:c r="I57" s="39" t="str">
        <x:v>Cố định GIAO_VIEN_TRUNG_TAM</x:v>
      </x:c>
      <x:c r="J57" s="39" t="str">
        <x:v>Ẩn</x:v>
      </x:c>
      <x:c r="K57" s="40" t="str">
        <x:v>P0 - Bắt buộc</x:v>
      </x:c>
      <x:c r="L57" s="41" t="str"/>
      <x:c r="M57" s="42" t="str"/>
    </x:row>
    <x:row r="58" ht="34" customHeight="1">
      <x:c r="A58" s="37" t="n">
        <x:v>50</x:v>
      </x:c>
      <x:c r="B58" s="56" t="str">
        <x:v>Lớp trung tâm</x:v>
      </x:c>
      <x:c r="C58" s="39" t="str">
        <x:v>Khác</x:v>
      </x:c>
      <x:c r="D58" s="39" t="str">
        <x:v>Ghi chú lớp</x:v>
      </x:c>
      <x:c r="E58" s="39" t="str">
        <x:v>notes</x:v>
      </x:c>
      <x:c r="F58" s="40" t="str">
        <x:v>Text</x:v>
      </x:c>
      <x:c r="G58" s="40" t="str">
        <x:v>Không</x:v>
      </x:c>
      <x:c r="H58" s="40" t="str">
        <x:v>Cần bổ sung</x:v>
      </x:c>
      <x:c r="I58" s="39" t="str">
        <x:v>Tối đa 1.000 ký tự</x:v>
      </x:c>
      <x:c r="J58" s="39" t="str">
        <x:v>Chi tiết</x:v>
      </x:c>
      <x:c r="K58" s="40" t="str">
        <x:v>P2 - Tùy chọn</x:v>
      </x:c>
      <x:c r="L58" s="41" t="str"/>
      <x:c r="M58" s="42" t="str"/>
    </x:row>
    <x:row r="59" ht="34" customHeight="1">
      <x:c r="A59" s="37" t="n">
        <x:v>51</x:v>
      </x:c>
      <x:c r="B59" s="56" t="str">
        <x:v>Lớp trung tâm</x:v>
      </x:c>
      <x:c r="C59" s="39" t="str">
        <x:v>Nguồn</x:v>
      </x:c>
      <x:c r="D59" s="39" t="str">
        <x:v>Yêu cầu đăng ký nguồn</x:v>
      </x:c>
      <x:c r="E59" s="39" t="str">
        <x:v>sourceRequestId</x:v>
      </x:c>
      <x:c r="F59" s="40" t="str">
        <x:v>UUID</x:v>
      </x:c>
      <x:c r="G59" s="40" t="str">
        <x:v>Không</x:v>
      </x:c>
      <x:c r="H59" s="40" t="str">
        <x:v>Đã có</x:v>
      </x:c>
      <x:c r="I59" s="39" t="str">
        <x:v>Liên kết yêu cầu phụ huynh nếu có</x:v>
      </x:c>
      <x:c r="J59" s="39" t="str">
        <x:v>Chi tiết</x:v>
      </x:c>
      <x:c r="K59" s="40" t="str">
        <x:v>P1 - Nên có</x:v>
      </x:c>
      <x:c r="L59" s="41" t="str"/>
      <x:c r="M59" s="42" t="str"/>
    </x:row>
    <x:row r="60" ht="34" customHeight="1">
      <x:c r="A60" s="37" t="n">
        <x:v>52</x:v>
      </x:c>
      <x:c r="B60" s="56" t="str">
        <x:v>Lớp trung tâm</x:v>
      </x:c>
      <x:c r="C60" s="39" t="str">
        <x:v>Hệ thống</x:v>
      </x:c>
      <x:c r="D60" s="39" t="str">
        <x:v>Người tạo</x:v>
      </x:c>
      <x:c r="E60" s="39" t="str">
        <x:v>createdById</x:v>
      </x:c>
      <x:c r="F60" s="40" t="str">
        <x:v>UUID</x:v>
      </x:c>
      <x:c r="G60" s="40" t="str">
        <x:v>Hệ thống</x:v>
      </x:c>
      <x:c r="H60" s="40" t="str">
        <x:v>Đã có</x:v>
      </x:c>
      <x:c r="I60" s="39" t="str">
        <x:v>Liên kết tài khoản admin</x:v>
      </x:c>
      <x:c r="J60" s="39" t="str">
        <x:v>Chi tiết</x:v>
      </x:c>
      <x:c r="K60" s="40" t="str">
        <x:v>P0 - Bắt buộc</x:v>
      </x:c>
      <x:c r="L60" s="41" t="str"/>
      <x:c r="M60" s="42" t="str"/>
    </x:row>
    <x:row r="61" ht="34" customHeight="1">
      <x:c r="A61" s="37" t="n">
        <x:v>53</x:v>
      </x:c>
      <x:c r="B61" s="56" t="str">
        <x:v>Lớp trung tâm</x:v>
      </x:c>
      <x:c r="C61" s="39" t="str">
        <x:v>Hệ thống</x:v>
      </x:c>
      <x:c r="D61" s="39" t="str">
        <x:v>Ngày tạo</x:v>
      </x:c>
      <x:c r="E61" s="39" t="str">
        <x:v>createdAt</x:v>
      </x:c>
      <x:c r="F61" s="40" t="str">
        <x:v>DateTime</x:v>
      </x:c>
      <x:c r="G61" s="40" t="str">
        <x:v>Hệ thống</x:v>
      </x:c>
      <x:c r="H61" s="40" t="str">
        <x:v>Đã có</x:v>
      </x:c>
      <x:c r="I61" s="39" t="str">
        <x:v>Tự động</x:v>
      </x:c>
      <x:c r="J61" s="39" t="str">
        <x:v>Chi tiết</x:v>
      </x:c>
      <x:c r="K61" s="40" t="str">
        <x:v>P0 - Bắt buộc</x:v>
      </x:c>
      <x:c r="L61" s="41" t="str"/>
      <x:c r="M61" s="42" t="str"/>
    </x:row>
    <x:row r="62" ht="34" customHeight="1">
      <x:c r="A62" s="37" t="n">
        <x:v>54</x:v>
      </x:c>
      <x:c r="B62" s="56" t="str">
        <x:v>Lớp trung tâm</x:v>
      </x:c>
      <x:c r="C62" s="39" t="str">
        <x:v>Hệ thống</x:v>
      </x:c>
      <x:c r="D62" s="39" t="str">
        <x:v>Ngày cập nhật</x:v>
      </x:c>
      <x:c r="E62" s="39" t="str">
        <x:v>updatedAt</x:v>
      </x:c>
      <x:c r="F62" s="40" t="str">
        <x:v>DateTime</x:v>
      </x:c>
      <x:c r="G62" s="40" t="str">
        <x:v>Hệ thống</x:v>
      </x:c>
      <x:c r="H62" s="40" t="str">
        <x:v>Đã có</x:v>
      </x:c>
      <x:c r="I62" s="39" t="str">
        <x:v>Tự động</x:v>
      </x:c>
      <x:c r="J62" s="39" t="str">
        <x:v>Chi tiết</x:v>
      </x:c>
      <x:c r="K62" s="40" t="str">
        <x:v>P0 - Bắt buộc</x:v>
      </x:c>
      <x:c r="L62" s="41" t="str"/>
      <x:c r="M62" s="42" t="str"/>
    </x:row>
    <x:row r="63" ht="34" customHeight="1">
      <x:c r="A63" s="37" t="n">
        <x:v>55</x:v>
      </x:c>
      <x:c r="B63" s="57" t="str">
        <x:v>Học viên trung tâm</x:v>
      </x:c>
      <x:c r="C63" s="39" t="str">
        <x:v>Định danh học viên</x:v>
      </x:c>
      <x:c r="D63" s="39" t="str">
        <x:v>ID học viên</x:v>
      </x:c>
      <x:c r="E63" s="39" t="str">
        <x:v>studentId</x:v>
      </x:c>
      <x:c r="F63" s="40" t="str">
        <x:v>UUID</x:v>
      </x:c>
      <x:c r="G63" s="40" t="str">
        <x:v>Hệ thống</x:v>
      </x:c>
      <x:c r="H63" s="40" t="str">
        <x:v>Nên đổi cấu trúc</x:v>
      </x:c>
      <x:c r="I63" s="39" t="str">
        <x:v>Tách hồ sơ học viên khỏi bản ghi tham gia lớp</x:v>
      </x:c>
      <x:c r="J63" s="39" t="str">
        <x:v>Ẩn</x:v>
      </x:c>
      <x:c r="K63" s="40" t="str">
        <x:v>P0 - Bắt buộc</x:v>
      </x:c>
      <x:c r="L63" s="41" t="str"/>
      <x:c r="M63" s="42" t="str"/>
    </x:row>
    <x:row r="64" ht="34" customHeight="1">
      <x:c r="A64" s="37" t="n">
        <x:v>56</x:v>
      </x:c>
      <x:c r="B64" s="57" t="str">
        <x:v>Học viên trung tâm</x:v>
      </x:c>
      <x:c r="C64" s="39" t="str">
        <x:v>Định danh học viên</x:v>
      </x:c>
      <x:c r="D64" s="39" t="str">
        <x:v>Mã học viên</x:v>
      </x:c>
      <x:c r="E64" s="39" t="str">
        <x:v>studentCode</x:v>
      </x:c>
      <x:c r="F64" s="40" t="str">
        <x:v>String</x:v>
      </x:c>
      <x:c r="G64" s="40" t="str">
        <x:v>Có</x:v>
      </x:c>
      <x:c r="H64" s="40" t="str">
        <x:v>Cần bổ sung</x:v>
      </x:c>
      <x:c r="I64" s="39" t="str">
        <x:v>Duy nhất; định dạng HV-xxxx</x:v>
      </x:c>
      <x:c r="J64" s="39" t="str">
        <x:v>Danh sách + chi tiết</x:v>
      </x:c>
      <x:c r="K64" s="40" t="str">
        <x:v>P0 - Bắt buộc</x:v>
      </x:c>
      <x:c r="L64" s="41" t="str"/>
      <x:c r="M64" s="42" t="str"/>
    </x:row>
    <x:row r="65" ht="34" customHeight="1">
      <x:c r="A65" s="37" t="n">
        <x:v>57</x:v>
      </x:c>
      <x:c r="B65" s="57" t="str">
        <x:v>Học viên trung tâm</x:v>
      </x:c>
      <x:c r="C65" s="39" t="str">
        <x:v>Cá nhân</x:v>
      </x:c>
      <x:c r="D65" s="39" t="str">
        <x:v>Họ và tên học viên</x:v>
      </x:c>
      <x:c r="E65" s="39" t="str">
        <x:v>fullName</x:v>
      </x:c>
      <x:c r="F65" s="40" t="str">
        <x:v>String</x:v>
      </x:c>
      <x:c r="G65" s="40" t="str">
        <x:v>Có</x:v>
      </x:c>
      <x:c r="H65" s="40" t="str">
        <x:v>Đã có</x:v>
      </x:c>
      <x:c r="I65" s="39" t="str">
        <x:v>Hiện là studentName; 2-200 ký tự</x:v>
      </x:c>
      <x:c r="J65" s="39" t="str">
        <x:v>Danh sách + chi tiết</x:v>
      </x:c>
      <x:c r="K65" s="40" t="str">
        <x:v>P0 - Bắt buộc</x:v>
      </x:c>
      <x:c r="L65" s="41" t="str"/>
      <x:c r="M65" s="42" t="str"/>
    </x:row>
    <x:row r="66" ht="34" customHeight="1">
      <x:c r="A66" s="37" t="n">
        <x:v>58</x:v>
      </x:c>
      <x:c r="B66" s="57" t="str">
        <x:v>Học viên trung tâm</x:v>
      </x:c>
      <x:c r="C66" s="39" t="str">
        <x:v>Cá nhân</x:v>
      </x:c>
      <x:c r="D66" s="39" t="str">
        <x:v>Ngày sinh</x:v>
      </x:c>
      <x:c r="E66" s="39" t="str">
        <x:v>dateOfBirth</x:v>
      </x:c>
      <x:c r="F66" s="40" t="str">
        <x:v>Date</x:v>
      </x:c>
      <x:c r="G66" s="40" t="str">
        <x:v>Không</x:v>
      </x:c>
      <x:c r="H66" s="40" t="str">
        <x:v>Cần bổ sung</x:v>
      </x:c>
      <x:c r="I66" s="39" t="str">
        <x:v>Không lớn hơn ngày hiện tại</x:v>
      </x:c>
      <x:c r="J66" s="39" t="str">
        <x:v>Chi tiết</x:v>
      </x:c>
      <x:c r="K66" s="40" t="str">
        <x:v>P1 - Nên có</x:v>
      </x:c>
      <x:c r="L66" s="41" t="str"/>
      <x:c r="M66" s="42" t="str"/>
    </x:row>
    <x:row r="67" ht="34" customHeight="1">
      <x:c r="A67" s="37" t="n">
        <x:v>59</x:v>
      </x:c>
      <x:c r="B67" s="57" t="str">
        <x:v>Học viên trung tâm</x:v>
      </x:c>
      <x:c r="C67" s="39" t="str">
        <x:v>Cá nhân</x:v>
      </x:c>
      <x:c r="D67" s="39" t="str">
        <x:v>Giới tính</x:v>
      </x:c>
      <x:c r="E67" s="39" t="str">
        <x:v>gender</x:v>
      </x:c>
      <x:c r="F67" s="40" t="str">
        <x:v>Enum</x:v>
      </x:c>
      <x:c r="G67" s="40" t="str">
        <x:v>Không</x:v>
      </x:c>
      <x:c r="H67" s="40" t="str">
        <x:v>Cần bổ sung</x:v>
      </x:c>
      <x:c r="I67" s="39" t="str">
        <x:v>Nam; Nữ; Khác; Không cung cấp</x:v>
      </x:c>
      <x:c r="J67" s="39" t="str">
        <x:v>Chi tiết</x:v>
      </x:c>
      <x:c r="K67" s="40" t="str">
        <x:v>P1 - Nên có</x:v>
      </x:c>
      <x:c r="L67" s="41" t="str"/>
      <x:c r="M67" s="42" t="str"/>
    </x:row>
    <x:row r="68" ht="34" customHeight="1">
      <x:c r="A68" s="37" t="n">
        <x:v>60</x:v>
      </x:c>
      <x:c r="B68" s="57" t="str">
        <x:v>Học viên trung tâm</x:v>
      </x:c>
      <x:c r="C68" s="39" t="str">
        <x:v>Học tập</x:v>
      </x:c>
      <x:c r="D68" s="39" t="str">
        <x:v>Trường đang học</x:v>
      </x:c>
      <x:c r="E68" s="39" t="str">
        <x:v>schoolName</x:v>
      </x:c>
      <x:c r="F68" s="40" t="str">
        <x:v>String</x:v>
      </x:c>
      <x:c r="G68" s="40" t="str">
        <x:v>Không</x:v>
      </x:c>
      <x:c r="H68" s="40" t="str">
        <x:v>Cần bổ sung</x:v>
      </x:c>
      <x:c r="I68" s="39" t="str">
        <x:v>Tối đa 200 ký tự</x:v>
      </x:c>
      <x:c r="J68" s="39" t="str">
        <x:v>Chi tiết</x:v>
      </x:c>
      <x:c r="K68" s="40" t="str">
        <x:v>P1 - Nên có</x:v>
      </x:c>
      <x:c r="L68" s="41" t="str"/>
      <x:c r="M68" s="42" t="str"/>
    </x:row>
    <x:row r="69" ht="34" customHeight="1">
      <x:c r="A69" s="37" t="n">
        <x:v>61</x:v>
      </x:c>
      <x:c r="B69" s="57" t="str">
        <x:v>Học viên trung tâm</x:v>
      </x:c>
      <x:c r="C69" s="39" t="str">
        <x:v>Học tập</x:v>
      </x:c>
      <x:c r="D69" s="39" t="str">
        <x:v>Khối lớp hiện tại</x:v>
      </x:c>
      <x:c r="E69" s="39" t="str">
        <x:v>currentGrade</x:v>
      </x:c>
      <x:c r="F69" s="40" t="str">
        <x:v>String/UUID</x:v>
      </x:c>
      <x:c r="G69" s="40" t="str">
        <x:v>Có</x:v>
      </x:c>
      <x:c r="H69" s="40" t="str">
        <x:v>Đã có</x:v>
      </x:c>
      <x:c r="I69" s="39" t="str">
        <x:v>Hiện là studentGrade; nên liên kết danh mục</x:v>
      </x:c>
      <x:c r="J69" s="39" t="str">
        <x:v>Bộ lọc + danh sách + chi tiết</x:v>
      </x:c>
      <x:c r="K69" s="40" t="str">
        <x:v>P0 - Bắt buộc</x:v>
      </x:c>
      <x:c r="L69" s="41" t="str"/>
      <x:c r="M69" s="42" t="str"/>
    </x:row>
    <x:row r="70" ht="34" customHeight="1">
      <x:c r="A70" s="37" t="n">
        <x:v>62</x:v>
      </x:c>
      <x:c r="B70" s="57" t="str">
        <x:v>Học viên trung tâm</x:v>
      </x:c>
      <x:c r="C70" s="39" t="str">
        <x:v>Liên hệ</x:v>
      </x:c>
      <x:c r="D70" s="39" t="str">
        <x:v>Địa chỉ học viên</x:v>
      </x:c>
      <x:c r="E70" s="39" t="str">
        <x:v>address</x:v>
      </x:c>
      <x:c r="F70" s="40" t="str">
        <x:v>String</x:v>
      </x:c>
      <x:c r="G70" s="40" t="str">
        <x:v>Không</x:v>
      </x:c>
      <x:c r="H70" s="40" t="str">
        <x:v>Đã có</x:v>
      </x:c>
      <x:c r="I70" s="39" t="str">
        <x:v>Tối đa 300 ký tự</x:v>
      </x:c>
      <x:c r="J70" s="39" t="str">
        <x:v>Chi tiết</x:v>
      </x:c>
      <x:c r="K70" s="40" t="str">
        <x:v>P1 - Nên có</x:v>
      </x:c>
      <x:c r="L70" s="41" t="str"/>
      <x:c r="M70" s="42" t="str"/>
    </x:row>
    <x:row r="71" ht="34" customHeight="1">
      <x:c r="A71" s="37" t="n">
        <x:v>63</x:v>
      </x:c>
      <x:c r="B71" s="57" t="str">
        <x:v>Học viên trung tâm</x:v>
      </x:c>
      <x:c r="C71" s="39" t="str">
        <x:v>Trạng thái</x:v>
      </x:c>
      <x:c r="D71" s="39" t="str">
        <x:v>Trạng thái học viên</x:v>
      </x:c>
      <x:c r="E71" s="39" t="str">
        <x:v>status</x:v>
      </x:c>
      <x:c r="F71" s="40" t="str">
        <x:v>Enum</x:v>
      </x:c>
      <x:c r="G71" s="40" t="str">
        <x:v>Có</x:v>
      </x:c>
      <x:c r="H71" s="40" t="str">
        <x:v>Cần bổ sung</x:v>
      </x:c>
      <x:c r="I71" s="39" t="str">
        <x:v>ACTIVE; INACTIVE</x:v>
      </x:c>
      <x:c r="J71" s="39" t="str">
        <x:v>Bộ lọc + danh sách + chi tiết</x:v>
      </x:c>
      <x:c r="K71" s="40" t="str">
        <x:v>P0 - Bắt buộc</x:v>
      </x:c>
      <x:c r="L71" s="41" t="str"/>
      <x:c r="M71" s="42" t="str"/>
    </x:row>
    <x:row r="72" ht="34" customHeight="1">
      <x:c r="A72" s="37" t="n">
        <x:v>64</x:v>
      </x:c>
      <x:c r="B72" s="57" t="str">
        <x:v>Học viên trung tâm</x:v>
      </x:c>
      <x:c r="C72" s="39" t="str">
        <x:v>Khác</x:v>
      </x:c>
      <x:c r="D72" s="39" t="str">
        <x:v>Ghi chú học viên</x:v>
      </x:c>
      <x:c r="E72" s="39" t="str">
        <x:v>note</x:v>
      </x:c>
      <x:c r="F72" s="40" t="str">
        <x:v>Text</x:v>
      </x:c>
      <x:c r="G72" s="40" t="str">
        <x:v>Không</x:v>
      </x:c>
      <x:c r="H72" s="40" t="str">
        <x:v>Cần bổ sung</x:v>
      </x:c>
      <x:c r="I72" s="39" t="str">
        <x:v>Không ghi dữ liệu sức khỏe nhạy cảm nếu chưa có chính sách</x:v>
      </x:c>
      <x:c r="J72" s="39" t="str">
        <x:v>Chi tiết</x:v>
      </x:c>
      <x:c r="K72" s="40" t="str">
        <x:v>P2 - Tùy chọn</x:v>
      </x:c>
      <x:c r="L72" s="41" t="str"/>
      <x:c r="M72" s="42" t="str"/>
    </x:row>
    <x:row r="73" ht="34" customHeight="1">
      <x:c r="A73" s="37" t="n">
        <x:v>65</x:v>
      </x:c>
      <x:c r="B73" s="57" t="str">
        <x:v>Học viên trung tâm</x:v>
      </x:c>
      <x:c r="C73" s="39" t="str">
        <x:v>Phụ huynh</x:v>
      </x:c>
      <x:c r="D73" s="39" t="str">
        <x:v>Họ tên phụ huynh chính</x:v>
      </x:c>
      <x:c r="E73" s="39" t="str">
        <x:v>guardianName</x:v>
      </x:c>
      <x:c r="F73" s="40" t="str">
        <x:v>String</x:v>
      </x:c>
      <x:c r="G73" s="40" t="str">
        <x:v>Có</x:v>
      </x:c>
      <x:c r="H73" s="40" t="str">
        <x:v>Nên đổi cấu trúc</x:v>
      </x:c>
      <x:c r="I73" s="39" t="str">
        <x:v>Hiện là parentName; nên tách bảng phụ huynh</x:v>
      </x:c>
      <x:c r="J73" s="39" t="str">
        <x:v>Danh sách + chi tiết</x:v>
      </x:c>
      <x:c r="K73" s="40" t="str">
        <x:v>P0 - Bắt buộc</x:v>
      </x:c>
      <x:c r="L73" s="41" t="str"/>
      <x:c r="M73" s="42" t="str"/>
    </x:row>
    <x:row r="74" ht="34" customHeight="1">
      <x:c r="A74" s="37" t="n">
        <x:v>66</x:v>
      </x:c>
      <x:c r="B74" s="57" t="str">
        <x:v>Học viên trung tâm</x:v>
      </x:c>
      <x:c r="C74" s="39" t="str">
        <x:v>Phụ huynh</x:v>
      </x:c>
      <x:c r="D74" s="39" t="str">
        <x:v>Mối quan hệ</x:v>
      </x:c>
      <x:c r="E74" s="39" t="str">
        <x:v>guardianRelationship</x:v>
      </x:c>
      <x:c r="F74" s="40" t="str">
        <x:v>Enum</x:v>
      </x:c>
      <x:c r="G74" s="40" t="str">
        <x:v>Có</x:v>
      </x:c>
      <x:c r="H74" s="40" t="str">
        <x:v>Cần bổ sung</x:v>
      </x:c>
      <x:c r="I74" s="39" t="str">
        <x:v>Cha; Mẹ; Người giám hộ; Khác</x:v>
      </x:c>
      <x:c r="J74" s="39" t="str">
        <x:v>Chi tiết</x:v>
      </x:c>
      <x:c r="K74" s="40" t="str">
        <x:v>P0 - Bắt buộc</x:v>
      </x:c>
      <x:c r="L74" s="41" t="str"/>
      <x:c r="M74" s="42" t="str"/>
    </x:row>
    <x:row r="75" ht="34" customHeight="1">
      <x:c r="A75" s="37" t="n">
        <x:v>67</x:v>
      </x:c>
      <x:c r="B75" s="57" t="str">
        <x:v>Học viên trung tâm</x:v>
      </x:c>
      <x:c r="C75" s="39" t="str">
        <x:v>Phụ huynh</x:v>
      </x:c>
      <x:c r="D75" s="39" t="str">
        <x:v>Số điện thoại chính</x:v>
      </x:c>
      <x:c r="E75" s="39" t="str">
        <x:v>guardianPhone</x:v>
      </x:c>
      <x:c r="F75" s="40" t="str">
        <x:v>String</x:v>
      </x:c>
      <x:c r="G75" s="40" t="str">
        <x:v>Có</x:v>
      </x:c>
      <x:c r="H75" s="40" t="str">
        <x:v>Nên đổi cấu trúc</x:v>
      </x:c>
      <x:c r="I75" s="39" t="str">
        <x:v>Hiện là parentPhone; số điện thoại Việt Nam</x:v>
      </x:c>
      <x:c r="J75" s="39" t="str">
        <x:v>Danh sách + chi tiết</x:v>
      </x:c>
      <x:c r="K75" s="40" t="str">
        <x:v>P0 - Bắt buộc</x:v>
      </x:c>
      <x:c r="L75" s="41" t="str"/>
      <x:c r="M75" s="42" t="str"/>
    </x:row>
    <x:row r="76" ht="34" customHeight="1">
      <x:c r="A76" s="37" t="n">
        <x:v>68</x:v>
      </x:c>
      <x:c r="B76" s="57" t="str">
        <x:v>Học viên trung tâm</x:v>
      </x:c>
      <x:c r="C76" s="39" t="str">
        <x:v>Phụ huynh</x:v>
      </x:c>
      <x:c r="D76" s="39" t="str">
        <x:v>Email phụ huynh</x:v>
      </x:c>
      <x:c r="E76" s="39" t="str">
        <x:v>guardianEmail</x:v>
      </x:c>
      <x:c r="F76" s="40" t="str">
        <x:v>String</x:v>
      </x:c>
      <x:c r="G76" s="40" t="str">
        <x:v>Không</x:v>
      </x:c>
      <x:c r="H76" s="40" t="str">
        <x:v>Nên đổi cấu trúc</x:v>
      </x:c>
      <x:c r="I76" s="39" t="str">
        <x:v>Hiện là parentEmail; email hợp lệ</x:v>
      </x:c>
      <x:c r="J76" s="39" t="str">
        <x:v>Chi tiết</x:v>
      </x:c>
      <x:c r="K76" s="40" t="str">
        <x:v>P1 - Nên có</x:v>
      </x:c>
      <x:c r="L76" s="41" t="str"/>
      <x:c r="M76" s="42" t="str"/>
    </x:row>
    <x:row r="77" ht="34" customHeight="1">
      <x:c r="A77" s="37" t="n">
        <x:v>69</x:v>
      </x:c>
      <x:c r="B77" s="57" t="str">
        <x:v>Học viên trung tâm</x:v>
      </x:c>
      <x:c r="C77" s="39" t="str">
        <x:v>Phụ huynh</x:v>
      </x:c>
      <x:c r="D77" s="39" t="str">
        <x:v>Địa chỉ phụ huynh</x:v>
      </x:c>
      <x:c r="E77" s="39" t="str">
        <x:v>guardianAddress</x:v>
      </x:c>
      <x:c r="F77" s="40" t="str">
        <x:v>String</x:v>
      </x:c>
      <x:c r="G77" s="40" t="str">
        <x:v>Không</x:v>
      </x:c>
      <x:c r="H77" s="40" t="str">
        <x:v>Cần bổ sung</x:v>
      </x:c>
      <x:c r="I77" s="39" t="str">
        <x:v>Có thể dùng chung địa chỉ học viên</x:v>
      </x:c>
      <x:c r="J77" s="39" t="str">
        <x:v>Chi tiết</x:v>
      </x:c>
      <x:c r="K77" s="40" t="str">
        <x:v>P2 - Tùy chọn</x:v>
      </x:c>
      <x:c r="L77" s="41" t="str"/>
      <x:c r="M77" s="42" t="str"/>
    </x:row>
    <x:row r="78" ht="34" customHeight="1">
      <x:c r="A78" s="37" t="n">
        <x:v>70</x:v>
      </x:c>
      <x:c r="B78" s="57" t="str">
        <x:v>Học viên trung tâm</x:v>
      </x:c>
      <x:c r="C78" s="39" t="str">
        <x:v>Phụ huynh</x:v>
      </x:c>
      <x:c r="D78" s="39" t="str">
        <x:v>Kênh liên hệ ưu tiên</x:v>
      </x:c>
      <x:c r="E78" s="39" t="str">
        <x:v>preferredContactMethod</x:v>
      </x:c>
      <x:c r="F78" s="40" t="str">
        <x:v>Enum</x:v>
      </x:c>
      <x:c r="G78" s="40" t="str">
        <x:v>Không</x:v>
      </x:c>
      <x:c r="H78" s="40" t="str">
        <x:v>Cần bổ sung</x:v>
      </x:c>
      <x:c r="I78" s="39" t="str">
        <x:v>Điện thoại; Zalo; Email</x:v>
      </x:c>
      <x:c r="J78" s="39" t="str">
        <x:v>Chi tiết</x:v>
      </x:c>
      <x:c r="K78" s="40" t="str">
        <x:v>P2 - Tùy chọn</x:v>
      </x:c>
      <x:c r="L78" s="41" t="str"/>
      <x:c r="M78" s="42" t="str"/>
    </x:row>
    <x:row r="79" ht="34" customHeight="1">
      <x:c r="A79" s="37" t="n">
        <x:v>71</x:v>
      </x:c>
      <x:c r="B79" s="57" t="str">
        <x:v>Học viên trung tâm</x:v>
      </x:c>
      <x:c r="C79" s="39" t="str">
        <x:v>Ghi danh</x:v>
      </x:c>
      <x:c r="D79" s="39" t="str">
        <x:v>ID ghi danh</x:v>
      </x:c>
      <x:c r="E79" s="39" t="str">
        <x:v>enrollmentId</x:v>
      </x:c>
      <x:c r="F79" s="40" t="str">
        <x:v>UUID</x:v>
      </x:c>
      <x:c r="G79" s="40" t="str">
        <x:v>Hệ thống</x:v>
      </x:c>
      <x:c r="H79" s="40" t="str">
        <x:v>Nên đổi cấu trúc</x:v>
      </x:c>
      <x:c r="I79" s="39" t="str">
        <x:v>Có thể chuyển ClassMember thành Enrollment</x:v>
      </x:c>
      <x:c r="J79" s="39" t="str">
        <x:v>Ẩn</x:v>
      </x:c>
      <x:c r="K79" s="40" t="str">
        <x:v>P0 - Bắt buộc</x:v>
      </x:c>
      <x:c r="L79" s="41" t="str"/>
      <x:c r="M79" s="42" t="str"/>
    </x:row>
    <x:row r="80" ht="34" customHeight="1">
      <x:c r="A80" s="37" t="n">
        <x:v>72</x:v>
      </x:c>
      <x:c r="B80" s="57" t="str">
        <x:v>Học viên trung tâm</x:v>
      </x:c>
      <x:c r="C80" s="39" t="str">
        <x:v>Ghi danh</x:v>
      </x:c>
      <x:c r="D80" s="39" t="str">
        <x:v>Học viên</x:v>
      </x:c>
      <x:c r="E80" s="39" t="str">
        <x:v>studentId</x:v>
      </x:c>
      <x:c r="F80" s="40" t="str">
        <x:v>UUID</x:v>
      </x:c>
      <x:c r="G80" s="40" t="str">
        <x:v>Có</x:v>
      </x:c>
      <x:c r="H80" s="40" t="str">
        <x:v>Cần bổ sung</x:v>
      </x:c>
      <x:c r="I80" s="39" t="str">
        <x:v>Liên kết hồ sơ học viên</x:v>
      </x:c>
      <x:c r="J80" s="39" t="str">
        <x:v>Chi tiết</x:v>
      </x:c>
      <x:c r="K80" s="40" t="str">
        <x:v>P0 - Bắt buộc</x:v>
      </x:c>
      <x:c r="L80" s="41" t="str"/>
      <x:c r="M80" s="42" t="str"/>
    </x:row>
    <x:row r="81" ht="34" customHeight="1">
      <x:c r="A81" s="37" t="n">
        <x:v>73</x:v>
      </x:c>
      <x:c r="B81" s="57" t="str">
        <x:v>Học viên trung tâm</x:v>
      </x:c>
      <x:c r="C81" s="39" t="str">
        <x:v>Ghi danh</x:v>
      </x:c>
      <x:c r="D81" s="39" t="str">
        <x:v>Lớp trung tâm</x:v>
      </x:c>
      <x:c r="E81" s="39" t="str">
        <x:v>classId</x:v>
      </x:c>
      <x:c r="F81" s="40" t="str">
        <x:v>UUID</x:v>
      </x:c>
      <x:c r="G81" s="40" t="str">
        <x:v>Có</x:v>
      </x:c>
      <x:c r="H81" s="40" t="str">
        <x:v>Đã có</x:v>
      </x:c>
      <x:c r="I81" s="39" t="str">
        <x:v>Liên kết lớp trung tâm</x:v>
      </x:c>
      <x:c r="J81" s="39" t="str">
        <x:v>Danh sách + chi tiết</x:v>
      </x:c>
      <x:c r="K81" s="40" t="str">
        <x:v>P0 - Bắt buộc</x:v>
      </x:c>
      <x:c r="L81" s="41" t="str"/>
      <x:c r="M81" s="42" t="str"/>
    </x:row>
    <x:row r="82" ht="34" customHeight="1">
      <x:c r="A82" s="37" t="n">
        <x:v>74</x:v>
      </x:c>
      <x:c r="B82" s="57" t="str">
        <x:v>Học viên trung tâm</x:v>
      </x:c>
      <x:c r="C82" s="39" t="str">
        <x:v>Ghi danh</x:v>
      </x:c>
      <x:c r="D82" s="39" t="str">
        <x:v>Yêu cầu đăng ký nguồn</x:v>
      </x:c>
      <x:c r="E82" s="39" t="str">
        <x:v>requestId</x:v>
      </x:c>
      <x:c r="F82" s="40" t="str">
        <x:v>UUID</x:v>
      </x:c>
      <x:c r="G82" s="40" t="str">
        <x:v>Không</x:v>
      </x:c>
      <x:c r="H82" s="40" t="str">
        <x:v>Đã có</x:v>
      </x:c>
      <x:c r="I82" s="39" t="str">
        <x:v>Liên kết yêu cầu phụ huynh nếu có</x:v>
      </x:c>
      <x:c r="J82" s="39" t="str">
        <x:v>Chi tiết</x:v>
      </x:c>
      <x:c r="K82" s="40" t="str">
        <x:v>P1 - Nên có</x:v>
      </x:c>
      <x:c r="L82" s="41" t="str"/>
      <x:c r="M82" s="42" t="str"/>
    </x:row>
    <x:row r="83" ht="34" customHeight="1">
      <x:c r="A83" s="37" t="n">
        <x:v>75</x:v>
      </x:c>
      <x:c r="B83" s="57" t="str">
        <x:v>Học viên trung tâm</x:v>
      </x:c>
      <x:c r="C83" s="39" t="str">
        <x:v>Ghi danh</x:v>
      </x:c>
      <x:c r="D83" s="39" t="str">
        <x:v>Ngày ghi danh</x:v>
      </x:c>
      <x:c r="E83" s="39" t="str">
        <x:v>enrolledAt</x:v>
      </x:c>
      <x:c r="F83" s="40" t="str">
        <x:v>DateTime</x:v>
      </x:c>
      <x:c r="G83" s="40" t="str">
        <x:v>Hệ thống</x:v>
      </x:c>
      <x:c r="H83" s="40" t="str">
        <x:v>Cần bổ sung</x:v>
      </x:c>
      <x:c r="I83" s="39" t="str">
        <x:v>Tự động khi xác nhận</x:v>
      </x:c>
      <x:c r="J83" s="39" t="str">
        <x:v>Danh sách + chi tiết</x:v>
      </x:c>
      <x:c r="K83" s="40" t="str">
        <x:v>P0 - Bắt buộc</x:v>
      </x:c>
      <x:c r="L83" s="41" t="str"/>
      <x:c r="M83" s="42" t="str"/>
    </x:row>
    <x:row r="84" ht="34" customHeight="1">
      <x:c r="A84" s="37" t="n">
        <x:v>76</x:v>
      </x:c>
      <x:c r="B84" s="57" t="str">
        <x:v>Học viên trung tâm</x:v>
      </x:c>
      <x:c r="C84" s="39" t="str">
        <x:v>Ghi danh</x:v>
      </x:c>
      <x:c r="D84" s="39" t="str">
        <x:v>Ngày bắt đầu học</x:v>
      </x:c>
      <x:c r="E84" s="39" t="str">
        <x:v>startDate</x:v>
      </x:c>
      <x:c r="F84" s="40" t="str">
        <x:v>Date</x:v>
      </x:c>
      <x:c r="G84" s="40" t="str">
        <x:v>Có</x:v>
      </x:c>
      <x:c r="H84" s="40" t="str">
        <x:v>Cần bổ sung</x:v>
      </x:c>
      <x:c r="I84" s="39" t="str">
        <x:v>Trong khoảng vận hành của lớp</x:v>
      </x:c>
      <x:c r="J84" s="39" t="str">
        <x:v>Chi tiết</x:v>
      </x:c>
      <x:c r="K84" s="40" t="str">
        <x:v>P0 - Bắt buộc</x:v>
      </x:c>
      <x:c r="L84" s="41" t="str"/>
      <x:c r="M84" s="42" t="str"/>
    </x:row>
    <x:row r="85" ht="34" customHeight="1">
      <x:c r="A85" s="37" t="n">
        <x:v>77</x:v>
      </x:c>
      <x:c r="B85" s="57" t="str">
        <x:v>Học viên trung tâm</x:v>
      </x:c>
      <x:c r="C85" s="39" t="str">
        <x:v>Ghi danh</x:v>
      </x:c>
      <x:c r="D85" s="39" t="str">
        <x:v>Ngày kết thúc học</x:v>
      </x:c>
      <x:c r="E85" s="39" t="str">
        <x:v>endDate</x:v>
      </x:c>
      <x:c r="F85" s="40" t="str">
        <x:v>Date</x:v>
      </x:c>
      <x:c r="G85" s="40" t="str">
        <x:v>Không</x:v>
      </x:c>
      <x:c r="H85" s="40" t="str">
        <x:v>Cần bổ sung</x:v>
      </x:c>
      <x:c r="I85" s="39" t="str">
        <x:v>Không trước ngày bắt đầu</x:v>
      </x:c>
      <x:c r="J85" s="39" t="str">
        <x:v>Chi tiết</x:v>
      </x:c>
      <x:c r="K85" s="40" t="str">
        <x:v>P1 - Nên có</x:v>
      </x:c>
      <x:c r="L85" s="41" t="str"/>
      <x:c r="M85" s="42" t="str"/>
    </x:row>
    <x:row r="86" ht="34" customHeight="1">
      <x:c r="A86" s="37" t="n">
        <x:v>78</x:v>
      </x:c>
      <x:c r="B86" s="57" t="str">
        <x:v>Học viên trung tâm</x:v>
      </x:c>
      <x:c r="C86" s="39" t="str">
        <x:v>Ghi danh</x:v>
      </x:c>
      <x:c r="D86" s="39" t="str">
        <x:v>Trạng thái ghi danh</x:v>
      </x:c>
      <x:c r="E86" s="39" t="str">
        <x:v>enrollmentStatus</x:v>
      </x:c>
      <x:c r="F86" s="40" t="str">
        <x:v>Enum</x:v>
      </x:c>
      <x:c r="G86" s="40" t="str">
        <x:v>Có</x:v>
      </x:c>
      <x:c r="H86" s="40" t="str">
        <x:v>Cần bổ sung</x:v>
      </x:c>
      <x:c r="I86" s="39" t="str">
        <x:v>Chờ xác nhận; Đang học; Bảo lưu; Nghỉ; Hoàn thành</x:v>
      </x:c>
      <x:c r="J86" s="39" t="str">
        <x:v>Bộ lọc + danh sách + chi tiết</x:v>
      </x:c>
      <x:c r="K86" s="40" t="str">
        <x:v>P0 - Bắt buộc</x:v>
      </x:c>
      <x:c r="L86" s="41" t="str"/>
      <x:c r="M86" s="42" t="str"/>
    </x:row>
    <x:row r="87" ht="34" customHeight="1">
      <x:c r="A87" s="37" t="n">
        <x:v>79</x:v>
      </x:c>
      <x:c r="B87" s="57" t="str">
        <x:v>Học viên trung tâm</x:v>
      </x:c>
      <x:c r="C87" s="39" t="str">
        <x:v>Học phí</x:v>
      </x:c>
      <x:c r="D87" s="39" t="str">
        <x:v>Gói học phí áp dụng</x:v>
      </x:c>
      <x:c r="E87" s="39" t="str">
        <x:v>tuitionPlanId</x:v>
      </x:c>
      <x:c r="F87" s="40" t="str">
        <x:v>UUID</x:v>
      </x:c>
      <x:c r="G87" s="40" t="str">
        <x:v>Có</x:v>
      </x:c>
      <x:c r="H87" s="40" t="str">
        <x:v>Cần bổ sung</x:v>
      </x:c>
      <x:c r="I87" s="39" t="str">
        <x:v>Liên kết bảng giá trung tâm</x:v>
      </x:c>
      <x:c r="J87" s="39" t="str">
        <x:v>Chi tiết</x:v>
      </x:c>
      <x:c r="K87" s="40" t="str">
        <x:v>P0 - Bắt buộc</x:v>
      </x:c>
      <x:c r="L87" s="41" t="str"/>
      <x:c r="M87" s="42" t="str"/>
    </x:row>
    <x:row r="88" ht="34" customHeight="1">
      <x:c r="A88" s="37" t="n">
        <x:v>80</x:v>
      </x:c>
      <x:c r="B88" s="57" t="str">
        <x:v>Học viên trung tâm</x:v>
      </x:c>
      <x:c r="C88" s="39" t="str">
        <x:v>Học phí</x:v>
      </x:c>
      <x:c r="D88" s="39" t="str">
        <x:v>Mức phí thỏa thuận</x:v>
      </x:c>
      <x:c r="E88" s="39" t="str">
        <x:v>agreedTuitionAmount</x:v>
      </x:c>
      <x:c r="F88" s="40" t="str">
        <x:v>Integer</x:v>
      </x:c>
      <x:c r="G88" s="40" t="str">
        <x:v>Không</x:v>
      </x:c>
      <x:c r="H88" s="40" t="str">
        <x:v>Cần bổ sung</x:v>
      </x:c>
      <x:c r="I88" s="39" t="str">
        <x:v>VND; chỉ nhập khi khác giá chuẩn</x:v>
      </x:c>
      <x:c r="J88" s="39" t="str">
        <x:v>Chi tiết</x:v>
      </x:c>
      <x:c r="K88" s="40" t="str">
        <x:v>P1 - Nên có</x:v>
      </x:c>
      <x:c r="L88" s="41" t="str"/>
      <x:c r="M88" s="42" t="str"/>
    </x:row>
    <x:row r="89" ht="34" customHeight="1">
      <x:c r="A89" s="37" t="n">
        <x:v>81</x:v>
      </x:c>
      <x:c r="B89" s="57" t="str">
        <x:v>Học viên trung tâm</x:v>
      </x:c>
      <x:c r="C89" s="39" t="str">
        <x:v>Học phí</x:v>
      </x:c>
      <x:c r="D89" s="39" t="str">
        <x:v>Loại ưu đãi</x:v>
      </x:c>
      <x:c r="E89" s="39" t="str">
        <x:v>discountType</x:v>
      </x:c>
      <x:c r="F89" s="40" t="str">
        <x:v>Enum</x:v>
      </x:c>
      <x:c r="G89" s="40" t="str">
        <x:v>Không</x:v>
      </x:c>
      <x:c r="H89" s="40" t="str">
        <x:v>Cần bổ sung</x:v>
      </x:c>
      <x:c r="I89" s="39" t="str">
        <x:v>Không; Phần trăm; Số tiền</x:v>
      </x:c>
      <x:c r="J89" s="39" t="str">
        <x:v>Chi tiết</x:v>
      </x:c>
      <x:c r="K89" s="40" t="str">
        <x:v>P2 - Tùy chọn</x:v>
      </x:c>
      <x:c r="L89" s="41" t="str"/>
      <x:c r="M89" s="42" t="str"/>
    </x:row>
    <x:row r="90" ht="34" customHeight="1">
      <x:c r="A90" s="37" t="n">
        <x:v>82</x:v>
      </x:c>
      <x:c r="B90" s="57" t="str">
        <x:v>Học viên trung tâm</x:v>
      </x:c>
      <x:c r="C90" s="39" t="str">
        <x:v>Học phí</x:v>
      </x:c>
      <x:c r="D90" s="39" t="str">
        <x:v>Giá trị ưu đãi</x:v>
      </x:c>
      <x:c r="E90" s="39" t="str">
        <x:v>discountValue</x:v>
      </x:c>
      <x:c r="F90" s="40" t="str">
        <x:v>Decimal/Integer</x:v>
      </x:c>
      <x:c r="G90" s="40" t="str">
        <x:v>Không</x:v>
      </x:c>
      <x:c r="H90" s="40" t="str">
        <x:v>Cần bổ sung</x:v>
      </x:c>
      <x:c r="I90" s="39" t="str">
        <x:v>Theo discountType; không âm</x:v>
      </x:c>
      <x:c r="J90" s="39" t="str">
        <x:v>Chi tiết</x:v>
      </x:c>
      <x:c r="K90" s="40" t="str">
        <x:v>P2 - Tùy chọn</x:v>
      </x:c>
      <x:c r="L90" s="41" t="str"/>
      <x:c r="M90" s="42" t="str"/>
    </x:row>
    <x:row r="91" ht="34" customHeight="1">
      <x:c r="A91" s="37" t="n">
        <x:v>83</x:v>
      </x:c>
      <x:c r="B91" s="57" t="str">
        <x:v>Học viên trung tâm</x:v>
      </x:c>
      <x:c r="C91" s="39" t="str">
        <x:v>Học phí</x:v>
      </x:c>
      <x:c r="D91" s="39" t="str">
        <x:v>Lý do ưu đãi</x:v>
      </x:c>
      <x:c r="E91" s="39" t="str">
        <x:v>discountReason</x:v>
      </x:c>
      <x:c r="F91" s="40" t="str">
        <x:v>String</x:v>
      </x:c>
      <x:c r="G91" s="40" t="str">
        <x:v>Không</x:v>
      </x:c>
      <x:c r="H91" s="40" t="str">
        <x:v>Cần bổ sung</x:v>
      </x:c>
      <x:c r="I91" s="39" t="str">
        <x:v>Bắt buộc nếu có ưu đãi</x:v>
      </x:c>
      <x:c r="J91" s="39" t="str">
        <x:v>Chi tiết</x:v>
      </x:c>
      <x:c r="K91" s="40" t="str">
        <x:v>P2 - Tùy chọn</x:v>
      </x:c>
      <x:c r="L91" s="41" t="str"/>
      <x:c r="M91" s="42" t="str"/>
    </x:row>
    <x:row r="92" ht="34" customHeight="1">
      <x:c r="A92" s="37" t="n">
        <x:v>84</x:v>
      </x:c>
      <x:c r="B92" s="57" t="str">
        <x:v>Học viên trung tâm</x:v>
      </x:c>
      <x:c r="C92" s="39" t="str">
        <x:v>Hệ thống</x:v>
      </x:c>
      <x:c r="D92" s="39" t="str">
        <x:v>Ngày tạo</x:v>
      </x:c>
      <x:c r="E92" s="39" t="str">
        <x:v>createdAt</x:v>
      </x:c>
      <x:c r="F92" s="40" t="str">
        <x:v>DateTime</x:v>
      </x:c>
      <x:c r="G92" s="40" t="str">
        <x:v>Hệ thống</x:v>
      </x:c>
      <x:c r="H92" s="40" t="str">
        <x:v>Đã có</x:v>
      </x:c>
      <x:c r="I92" s="39" t="str">
        <x:v>Tự động</x:v>
      </x:c>
      <x:c r="J92" s="39" t="str">
        <x:v>Chi tiết</x:v>
      </x:c>
      <x:c r="K92" s="40" t="str">
        <x:v>P0 - Bắt buộc</x:v>
      </x:c>
      <x:c r="L92" s="41" t="str"/>
      <x:c r="M92" s="42" t="str"/>
    </x:row>
    <x:row r="93" ht="34" customHeight="1">
      <x:c r="A93" s="43" t="n">
        <x:v>85</x:v>
      </x:c>
      <x:c r="B93" s="58" t="str">
        <x:v>Học viên trung tâm</x:v>
      </x:c>
      <x:c r="C93" s="45" t="str">
        <x:v>Hệ thống</x:v>
      </x:c>
      <x:c r="D93" s="45" t="str">
        <x:v>Ngày cập nhật</x:v>
      </x:c>
      <x:c r="E93" s="45" t="str">
        <x:v>updatedAt</x:v>
      </x:c>
      <x:c r="F93" s="46" t="str">
        <x:v>DateTime</x:v>
      </x:c>
      <x:c r="G93" s="46" t="str">
        <x:v>Hệ thống</x:v>
      </x:c>
      <x:c r="H93" s="46" t="str">
        <x:v>Đã có</x:v>
      </x:c>
      <x:c r="I93" s="45" t="str">
        <x:v>Tự động</x:v>
      </x:c>
      <x:c r="J93" s="45" t="str">
        <x:v>Chi tiết</x:v>
      </x:c>
      <x:c r="K93" s="46" t="str">
        <x:v>P0 - Bắt buộc</x:v>
      </x:c>
      <x:c r="L93" s="47" t="str"/>
      <x:c r="M93" s="48" t="str"/>
    </x:row>
  </x:sheetData>
  <x:conditionalFormatting sqref="H9:H93">
    <x:cfRule type="containsText" dxfId="0" priority="1" operator="containsText" text="Cần bổ sung"/>
    <x:cfRule type="containsText" dxfId="1" priority="2" operator="containsText" text="Nên đổi cấu trúc"/>
    <x:cfRule type="containsText" dxfId="2" priority="3" operator="containsText" text="Đã có"/>
    <x:cfRule type="containsText" dxfId="3" priority="4" operator="containsText" text="Tự sinh"/>
  </x:conditionalFormatting>
  <x:conditionalFormatting sqref="L9:L93">
    <x:cfRule type="containsText" dxfId="4" priority="5" operator="containsText" text="Duyệt"/>
    <x:cfRule type="containsText" dxfId="5" priority="6" operator="containsText" text="Loại bỏ"/>
    <x:cfRule type="containsText" dxfId="6" priority="7" operator="containsText" text="Cần trao đổi"/>
  </x:conditionalFormatting>
  <x:dataValidations count="1">
    <x:dataValidation type="list" sqref="L9:L93">
      <x:formula1>"Duyệt,Loại bỏ,Cần trao đổi"</x:formula1>
    </x:dataValidation>
  </x:dataValidations>
  <x:pageMargins left="0.7" right="0.7" top="0.75" bottom="0.75" header="0.3" footer="0.3"/>
</x:worksheet>
</file>